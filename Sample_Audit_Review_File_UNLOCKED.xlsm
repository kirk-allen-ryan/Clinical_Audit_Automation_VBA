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yan\Downloads\"/>
    </mc:Choice>
  </mc:AlternateContent>
  <xr:revisionPtr revIDLastSave="0" documentId="8_{862B5173-5156-41F6-86F2-39D0C69FF1AC}" xr6:coauthVersionLast="47" xr6:coauthVersionMax="47" xr10:uidLastSave="{00000000-0000-0000-0000-000000000000}"/>
  <bookViews>
    <workbookView xWindow="14400" yWindow="525" windowWidth="28230" windowHeight="13785" xr2:uid="{00000000-000D-0000-FFFF-FFFF00000000}"/>
  </bookViews>
  <sheets>
    <sheet name="REVIEW" sheetId="5" r:id="rId1"/>
    <sheet name="CodeKey" sheetId="10" state="hidden" r:id="rId2"/>
    <sheet name="Staff_Key" sheetId="9" state="hidden" r:id="rId3"/>
    <sheet name="STAFF SCORE" sheetId="7" state="hidden" r:id="rId4"/>
    <sheet name="CODE SCORE" sheetId="8" state="hidden" r:id="rId5"/>
    <sheet name="COVERSHEET" sheetId="6" state="hidden" r:id="rId6"/>
    <sheet name="DATA" sheetId="2" state="hidden" r:id="rId7"/>
    <sheet name="DATA2" sheetId="3" state="hidden" r:id="rId8"/>
  </sheets>
  <functionGroups builtInGroupCount="19"/>
  <definedNames>
    <definedName name="called">DATA!$A$2:$A$4</definedName>
    <definedName name="COVER" localSheetId="5">COVERSHEET!$A$1:$B$7</definedName>
    <definedName name="coversheet" localSheetId="2">Staff_Key!$K$1:$T$3</definedName>
    <definedName name="coversheet">COVERSHEET!$A$1:$B$11</definedName>
    <definedName name="FLAGTYPES">'REVIEW'!$K$3:$M$4</definedName>
    <definedName name="loaded">DATA!$C$2:$C$4</definedName>
    <definedName name="ratios">'REVIEW'!$R$3:$S$6</definedName>
    <definedName name="stats">'REVIEW'!$S$1:$V$2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0" l="1"/>
  <c r="E10" i="10"/>
  <c r="E9" i="10"/>
  <c r="E8" i="10"/>
  <c r="E7" i="10"/>
  <c r="E6" i="10"/>
  <c r="E5" i="10"/>
  <c r="E4" i="10"/>
  <c r="E3" i="10"/>
  <c r="E2" i="10"/>
  <c r="F2" i="10" s="1"/>
  <c r="A54" i="9"/>
  <c r="D2" i="9"/>
  <c r="D1" i="9"/>
  <c r="G9" i="5"/>
  <c r="F9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F3" i="10" l="1"/>
  <c r="F4" i="10" s="1"/>
  <c r="K4" i="5"/>
  <c r="K3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F15" i="10" l="1"/>
  <c r="F5" i="10"/>
  <c r="F6" i="10" s="1"/>
  <c r="F7" i="10" s="1"/>
  <c r="F8" i="10" s="1"/>
  <c r="M4" i="5"/>
  <c r="S6" i="5" s="1"/>
  <c r="M3" i="5"/>
  <c r="S5" i="5" s="1"/>
  <c r="G9" i="2"/>
  <c r="H9" i="5" s="1"/>
  <c r="G10" i="2"/>
  <c r="H10" i="5" s="1"/>
  <c r="G11" i="2"/>
  <c r="H11" i="5" s="1"/>
  <c r="G12" i="2"/>
  <c r="H12" i="5" s="1"/>
  <c r="G13" i="2"/>
  <c r="H13" i="5" s="1"/>
  <c r="G14" i="2"/>
  <c r="H14" i="5" s="1"/>
  <c r="G15" i="2"/>
  <c r="H15" i="5" s="1"/>
  <c r="G16" i="2"/>
  <c r="H16" i="5" s="1"/>
  <c r="G17" i="2"/>
  <c r="H17" i="5" s="1"/>
  <c r="G18" i="2"/>
  <c r="H18" i="5" s="1"/>
  <c r="G19" i="2"/>
  <c r="H19" i="5" s="1"/>
  <c r="G20" i="2"/>
  <c r="H20" i="5" s="1"/>
  <c r="G21" i="2"/>
  <c r="H21" i="5" s="1"/>
  <c r="G22" i="2"/>
  <c r="H22" i="5" s="1"/>
  <c r="G23" i="2"/>
  <c r="H23" i="5" s="1"/>
  <c r="G24" i="2"/>
  <c r="H24" i="5" s="1"/>
  <c r="G25" i="2"/>
  <c r="H25" i="5" s="1"/>
  <c r="G26" i="2"/>
  <c r="H26" i="5" s="1"/>
  <c r="G27" i="2"/>
  <c r="H27" i="5" s="1"/>
  <c r="G28" i="2"/>
  <c r="H28" i="5" s="1"/>
  <c r="G29" i="2"/>
  <c r="H29" i="5" s="1"/>
  <c r="G30" i="2"/>
  <c r="H30" i="5" s="1"/>
  <c r="G31" i="2"/>
  <c r="H31" i="5" s="1"/>
  <c r="G32" i="2"/>
  <c r="H32" i="5" s="1"/>
  <c r="G33" i="2"/>
  <c r="H33" i="5" s="1"/>
  <c r="G34" i="2"/>
  <c r="H34" i="5" s="1"/>
  <c r="G35" i="2"/>
  <c r="H35" i="5" s="1"/>
  <c r="G36" i="2"/>
  <c r="H36" i="5" s="1"/>
  <c r="G37" i="2"/>
  <c r="H37" i="5" s="1"/>
  <c r="G38" i="2"/>
  <c r="H38" i="5" s="1"/>
  <c r="G39" i="2"/>
  <c r="H39" i="5" s="1"/>
  <c r="G40" i="2"/>
  <c r="H40" i="5" s="1"/>
  <c r="G41" i="2"/>
  <c r="H41" i="5" s="1"/>
  <c r="G42" i="2"/>
  <c r="H42" i="5" s="1"/>
  <c r="G43" i="2"/>
  <c r="H43" i="5" s="1"/>
  <c r="G44" i="2"/>
  <c r="H44" i="5" s="1"/>
  <c r="G45" i="2"/>
  <c r="H45" i="5" s="1"/>
  <c r="G46" i="2"/>
  <c r="H46" i="5" s="1"/>
  <c r="G47" i="2"/>
  <c r="H47" i="5" s="1"/>
  <c r="G48" i="2"/>
  <c r="H48" i="5" s="1"/>
  <c r="G49" i="2"/>
  <c r="H49" i="5" s="1"/>
  <c r="G50" i="2"/>
  <c r="H50" i="5" s="1"/>
  <c r="G51" i="2"/>
  <c r="H51" i="5" s="1"/>
  <c r="G52" i="2"/>
  <c r="H52" i="5" s="1"/>
  <c r="G53" i="2"/>
  <c r="H53" i="5" s="1"/>
  <c r="G54" i="2"/>
  <c r="H54" i="5" s="1"/>
  <c r="G55" i="2"/>
  <c r="H55" i="5" s="1"/>
  <c r="G56" i="2"/>
  <c r="H56" i="5" s="1"/>
  <c r="G57" i="2"/>
  <c r="H57" i="5" s="1"/>
  <c r="G58" i="2"/>
  <c r="H58" i="5" s="1"/>
  <c r="G59" i="2"/>
  <c r="H59" i="5" s="1"/>
  <c r="G60" i="2"/>
  <c r="H60" i="5" s="1"/>
  <c r="G61" i="2"/>
  <c r="H61" i="5" s="1"/>
  <c r="G62" i="2"/>
  <c r="H62" i="5" s="1"/>
  <c r="G63" i="2"/>
  <c r="H63" i="5" s="1"/>
  <c r="G64" i="2"/>
  <c r="H64" i="5" s="1"/>
  <c r="G65" i="2"/>
  <c r="H65" i="5" s="1"/>
  <c r="G66" i="2"/>
  <c r="H66" i="5" s="1"/>
  <c r="G67" i="2"/>
  <c r="H67" i="5" s="1"/>
  <c r="G68" i="2"/>
  <c r="H68" i="5" s="1"/>
  <c r="G69" i="2"/>
  <c r="H69" i="5" s="1"/>
  <c r="G70" i="2"/>
  <c r="H70" i="5" s="1"/>
  <c r="G71" i="2"/>
  <c r="H71" i="5" s="1"/>
  <c r="G72" i="2"/>
  <c r="H72" i="5" s="1"/>
  <c r="G73" i="2"/>
  <c r="H73" i="5" s="1"/>
  <c r="G74" i="2"/>
  <c r="H74" i="5" s="1"/>
  <c r="G75" i="2"/>
  <c r="H75" i="5" s="1"/>
  <c r="G76" i="2"/>
  <c r="H76" i="5" s="1"/>
  <c r="G77" i="2"/>
  <c r="H77" i="5" s="1"/>
  <c r="G78" i="2"/>
  <c r="H78" i="5" s="1"/>
  <c r="G79" i="2"/>
  <c r="H79" i="5" s="1"/>
  <c r="G80" i="2"/>
  <c r="H80" i="5" s="1"/>
  <c r="G81" i="2"/>
  <c r="H81" i="5" s="1"/>
  <c r="G82" i="2"/>
  <c r="H82" i="5" s="1"/>
  <c r="G83" i="2"/>
  <c r="H83" i="5" s="1"/>
  <c r="G84" i="2"/>
  <c r="H84" i="5" s="1"/>
  <c r="G85" i="2"/>
  <c r="H85" i="5" s="1"/>
  <c r="G86" i="2"/>
  <c r="H86" i="5" s="1"/>
  <c r="G87" i="2"/>
  <c r="H87" i="5" s="1"/>
  <c r="G88" i="2"/>
  <c r="H88" i="5" s="1"/>
  <c r="G89" i="2"/>
  <c r="H89" i="5" s="1"/>
  <c r="G90" i="2"/>
  <c r="H90" i="5" s="1"/>
  <c r="G91" i="2"/>
  <c r="H91" i="5" s="1"/>
  <c r="G92" i="2"/>
  <c r="H92" i="5" s="1"/>
  <c r="G93" i="2"/>
  <c r="H93" i="5" s="1"/>
  <c r="G94" i="2"/>
  <c r="H94" i="5" s="1"/>
  <c r="G95" i="2"/>
  <c r="H95" i="5" s="1"/>
  <c r="G96" i="2"/>
  <c r="H96" i="5" s="1"/>
  <c r="G97" i="2"/>
  <c r="H97" i="5" s="1"/>
  <c r="G98" i="2"/>
  <c r="H98" i="5" s="1"/>
  <c r="G99" i="2"/>
  <c r="H99" i="5" s="1"/>
  <c r="G100" i="2"/>
  <c r="H100" i="5" s="1"/>
  <c r="G101" i="2"/>
  <c r="H101" i="5" s="1"/>
  <c r="G102" i="2"/>
  <c r="H102" i="5" s="1"/>
  <c r="G103" i="2"/>
  <c r="H103" i="5" s="1"/>
  <c r="G104" i="2"/>
  <c r="H104" i="5" s="1"/>
  <c r="G105" i="2"/>
  <c r="H105" i="5" s="1"/>
  <c r="G106" i="2"/>
  <c r="H106" i="5" s="1"/>
  <c r="G107" i="2"/>
  <c r="H107" i="5" s="1"/>
  <c r="G108" i="2"/>
  <c r="H108" i="5" s="1"/>
  <c r="G109" i="2"/>
  <c r="H109" i="5" s="1"/>
  <c r="G110" i="2"/>
  <c r="H110" i="5" s="1"/>
  <c r="G111" i="2"/>
  <c r="H111" i="5" s="1"/>
  <c r="G112" i="2"/>
  <c r="H112" i="5" s="1"/>
  <c r="G113" i="2"/>
  <c r="H113" i="5" s="1"/>
  <c r="G114" i="2"/>
  <c r="H114" i="5" s="1"/>
  <c r="G115" i="2"/>
  <c r="H115" i="5" s="1"/>
  <c r="G116" i="2"/>
  <c r="H116" i="5" s="1"/>
  <c r="G117" i="2"/>
  <c r="H117" i="5" s="1"/>
  <c r="G118" i="2"/>
  <c r="H118" i="5" s="1"/>
  <c r="G119" i="2"/>
  <c r="H119" i="5" s="1"/>
  <c r="G120" i="2"/>
  <c r="H120" i="5" s="1"/>
  <c r="G121" i="2"/>
  <c r="H121" i="5" s="1"/>
  <c r="G122" i="2"/>
  <c r="H122" i="5" s="1"/>
  <c r="G123" i="2"/>
  <c r="H123" i="5" s="1"/>
  <c r="G124" i="2"/>
  <c r="G125" i="2"/>
  <c r="H125" i="5" s="1"/>
  <c r="G126" i="2"/>
  <c r="H126" i="5" s="1"/>
  <c r="G127" i="2"/>
  <c r="H127" i="5" s="1"/>
  <c r="G128" i="2"/>
  <c r="H128" i="5" s="1"/>
  <c r="G129" i="2"/>
  <c r="H129" i="5" s="1"/>
  <c r="G130" i="2"/>
  <c r="H130" i="5" s="1"/>
  <c r="G131" i="2"/>
  <c r="G132" i="2"/>
  <c r="G133" i="2"/>
  <c r="G134" i="2"/>
  <c r="G135" i="2"/>
  <c r="G136" i="2"/>
  <c r="H136" i="5" s="1"/>
  <c r="G137" i="2"/>
  <c r="H137" i="5" s="1"/>
  <c r="G138" i="2"/>
  <c r="G139" i="2"/>
  <c r="G140" i="2"/>
  <c r="G141" i="2"/>
  <c r="G142" i="2"/>
  <c r="H142" i="5" s="1"/>
  <c r="G143" i="2"/>
  <c r="H143" i="5" s="1"/>
  <c r="G144" i="2"/>
  <c r="H144" i="5" s="1"/>
  <c r="G145" i="2"/>
  <c r="G146" i="2"/>
  <c r="G147" i="2"/>
  <c r="G148" i="2"/>
  <c r="G149" i="2"/>
  <c r="G150" i="2"/>
  <c r="H150" i="5" s="1"/>
  <c r="G151" i="2"/>
  <c r="H151" i="5" s="1"/>
  <c r="G152" i="2"/>
  <c r="H152" i="5" s="1"/>
  <c r="G153" i="2"/>
  <c r="G154" i="2"/>
  <c r="H154" i="5" s="1"/>
  <c r="G155" i="2"/>
  <c r="H155" i="5" s="1"/>
  <c r="G156" i="2"/>
  <c r="G157" i="2"/>
  <c r="G158" i="2"/>
  <c r="H158" i="5" s="1"/>
  <c r="G159" i="2"/>
  <c r="H159" i="5" s="1"/>
  <c r="G160" i="2"/>
  <c r="H160" i="5" s="1"/>
  <c r="G161" i="2"/>
  <c r="H161" i="5" s="1"/>
  <c r="G162" i="2"/>
  <c r="H162" i="5" s="1"/>
  <c r="G163" i="2"/>
  <c r="H163" i="5" s="1"/>
  <c r="G164" i="2"/>
  <c r="G165" i="2"/>
  <c r="H165" i="5" s="1"/>
  <c r="G166" i="2"/>
  <c r="H166" i="5" s="1"/>
  <c r="G167" i="2"/>
  <c r="G168" i="2"/>
  <c r="H168" i="5" s="1"/>
  <c r="G169" i="2"/>
  <c r="G170" i="2"/>
  <c r="G171" i="2"/>
  <c r="G172" i="2"/>
  <c r="G173" i="2"/>
  <c r="H173" i="5" s="1"/>
  <c r="G174" i="2"/>
  <c r="H174" i="5" s="1"/>
  <c r="G175" i="2"/>
  <c r="H175" i="5" s="1"/>
  <c r="G176" i="2"/>
  <c r="H176" i="5" s="1"/>
  <c r="G177" i="2"/>
  <c r="H177" i="5" s="1"/>
  <c r="G178" i="2"/>
  <c r="H178" i="5" s="1"/>
  <c r="G179" i="2"/>
  <c r="H179" i="5" s="1"/>
  <c r="G180" i="2"/>
  <c r="G181" i="2"/>
  <c r="G182" i="2"/>
  <c r="H182" i="5" s="1"/>
  <c r="G183" i="2"/>
  <c r="H183" i="5" s="1"/>
  <c r="G184" i="2"/>
  <c r="H184" i="5" s="1"/>
  <c r="G185" i="2"/>
  <c r="H185" i="5" s="1"/>
  <c r="G186" i="2"/>
  <c r="G187" i="2"/>
  <c r="H187" i="5" s="1"/>
  <c r="G188" i="2"/>
  <c r="G189" i="2"/>
  <c r="H189" i="5" s="1"/>
  <c r="G190" i="2"/>
  <c r="H190" i="5" s="1"/>
  <c r="G191" i="2"/>
  <c r="H191" i="5" s="1"/>
  <c r="G192" i="2"/>
  <c r="H192" i="5" s="1"/>
  <c r="G193" i="2"/>
  <c r="G194" i="2"/>
  <c r="G195" i="2"/>
  <c r="G196" i="2"/>
  <c r="G197" i="2"/>
  <c r="H197" i="5" s="1"/>
  <c r="G198" i="2"/>
  <c r="G199" i="2"/>
  <c r="G200" i="2"/>
  <c r="H200" i="5" s="1"/>
  <c r="G201" i="2"/>
  <c r="H201" i="5" s="1"/>
  <c r="G202" i="2"/>
  <c r="H202" i="5" s="1"/>
  <c r="G203" i="2"/>
  <c r="G204" i="2"/>
  <c r="G205" i="2"/>
  <c r="G206" i="2"/>
  <c r="H206" i="5" s="1"/>
  <c r="G207" i="2"/>
  <c r="H207" i="5" s="1"/>
  <c r="G208" i="2"/>
  <c r="H208" i="5" s="1"/>
  <c r="G209" i="2"/>
  <c r="H209" i="5" s="1"/>
  <c r="G210" i="2"/>
  <c r="G211" i="2"/>
  <c r="G212" i="2"/>
  <c r="G213" i="2"/>
  <c r="G214" i="2"/>
  <c r="H214" i="5" s="1"/>
  <c r="G215" i="2"/>
  <c r="H215" i="5" s="1"/>
  <c r="G216" i="2"/>
  <c r="H216" i="5" s="1"/>
  <c r="G217" i="2"/>
  <c r="G218" i="2"/>
  <c r="H218" i="5" s="1"/>
  <c r="G219" i="2"/>
  <c r="H219" i="5" s="1"/>
  <c r="G220" i="2"/>
  <c r="G221" i="2"/>
  <c r="H221" i="5" s="1"/>
  <c r="G222" i="2"/>
  <c r="G223" i="2"/>
  <c r="G224" i="2"/>
  <c r="H224" i="5" s="1"/>
  <c r="G225" i="2"/>
  <c r="G226" i="2"/>
  <c r="H226" i="5" s="1"/>
  <c r="G227" i="2"/>
  <c r="H227" i="5" s="1"/>
  <c r="G228" i="2"/>
  <c r="G229" i="2"/>
  <c r="H229" i="5" s="1"/>
  <c r="G230" i="2"/>
  <c r="G231" i="2"/>
  <c r="H231" i="5" s="1"/>
  <c r="G232" i="2"/>
  <c r="H232" i="5" s="1"/>
  <c r="G233" i="2"/>
  <c r="H233" i="5" s="1"/>
  <c r="G234" i="2"/>
  <c r="G235" i="2"/>
  <c r="H235" i="5" s="1"/>
  <c r="G236" i="2"/>
  <c r="G237" i="2"/>
  <c r="H237" i="5" s="1"/>
  <c r="G238" i="2"/>
  <c r="H238" i="5" s="1"/>
  <c r="G239" i="2"/>
  <c r="H239" i="5" s="1"/>
  <c r="G240" i="2"/>
  <c r="H240" i="5" s="1"/>
  <c r="G241" i="2"/>
  <c r="G242" i="2"/>
  <c r="G243" i="2"/>
  <c r="H243" i="5" s="1"/>
  <c r="G244" i="2"/>
  <c r="G245" i="2"/>
  <c r="H245" i="5" s="1"/>
  <c r="G246" i="2"/>
  <c r="H246" i="5" s="1"/>
  <c r="G247" i="2"/>
  <c r="H247" i="5" s="1"/>
  <c r="G248" i="2"/>
  <c r="H248" i="5" s="1"/>
  <c r="G249" i="2"/>
  <c r="H249" i="5" s="1"/>
  <c r="G250" i="2"/>
  <c r="H250" i="5" s="1"/>
  <c r="G251" i="2"/>
  <c r="H251" i="5" s="1"/>
  <c r="G252" i="2"/>
  <c r="G253" i="2"/>
  <c r="G254" i="2"/>
  <c r="G255" i="2"/>
  <c r="G256" i="2"/>
  <c r="H256" i="5" s="1"/>
  <c r="G257" i="2"/>
  <c r="H257" i="5" s="1"/>
  <c r="G258" i="2"/>
  <c r="G259" i="2"/>
  <c r="H259" i="5" s="1"/>
  <c r="G260" i="2"/>
  <c r="G261" i="2"/>
  <c r="H261" i="5" s="1"/>
  <c r="G262" i="2"/>
  <c r="G263" i="2"/>
  <c r="H263" i="5" s="1"/>
  <c r="G264" i="2"/>
  <c r="H264" i="5" s="1"/>
  <c r="G265" i="2"/>
  <c r="G266" i="2"/>
  <c r="G267" i="2"/>
  <c r="G268" i="2"/>
  <c r="G269" i="2"/>
  <c r="H269" i="5" s="1"/>
  <c r="G270" i="2"/>
  <c r="H270" i="5" s="1"/>
  <c r="G271" i="2"/>
  <c r="H271" i="5" s="1"/>
  <c r="G272" i="2"/>
  <c r="H272" i="5" s="1"/>
  <c r="G273" i="2"/>
  <c r="G274" i="2"/>
  <c r="G275" i="2"/>
  <c r="G276" i="2"/>
  <c r="G277" i="2"/>
  <c r="G278" i="2"/>
  <c r="H278" i="5" s="1"/>
  <c r="G279" i="2"/>
  <c r="H279" i="5" s="1"/>
  <c r="G280" i="2"/>
  <c r="H280" i="5" s="1"/>
  <c r="G281" i="2"/>
  <c r="H281" i="5" s="1"/>
  <c r="G282" i="2"/>
  <c r="H282" i="5" s="1"/>
  <c r="G283" i="2"/>
  <c r="G284" i="2"/>
  <c r="G285" i="2"/>
  <c r="G286" i="2"/>
  <c r="H286" i="5" s="1"/>
  <c r="G287" i="2"/>
  <c r="G288" i="2"/>
  <c r="H288" i="5" s="1"/>
  <c r="G289" i="2"/>
  <c r="G290" i="2"/>
  <c r="H290" i="5" s="1"/>
  <c r="G291" i="2"/>
  <c r="H291" i="5" s="1"/>
  <c r="G292" i="2"/>
  <c r="G293" i="2"/>
  <c r="H293" i="5" s="1"/>
  <c r="G294" i="2"/>
  <c r="H294" i="5" s="1"/>
  <c r="G295" i="2"/>
  <c r="H295" i="5" s="1"/>
  <c r="G296" i="2"/>
  <c r="H296" i="5" s="1"/>
  <c r="G297" i="2"/>
  <c r="H297" i="5" s="1"/>
  <c r="G298" i="2"/>
  <c r="H298" i="5" s="1"/>
  <c r="G299" i="2"/>
  <c r="G300" i="2"/>
  <c r="G301" i="2"/>
  <c r="H301" i="5" s="1"/>
  <c r="G302" i="2"/>
  <c r="H302" i="5" s="1"/>
  <c r="G303" i="2"/>
  <c r="H303" i="5" s="1"/>
  <c r="G304" i="2"/>
  <c r="H304" i="5" s="1"/>
  <c r="G305" i="2"/>
  <c r="H305" i="5" s="1"/>
  <c r="G306" i="2"/>
  <c r="G307" i="2"/>
  <c r="H307" i="5" s="1"/>
  <c r="G308" i="2"/>
  <c r="G309" i="2"/>
  <c r="H309" i="5" s="1"/>
  <c r="G310" i="2"/>
  <c r="H310" i="5" s="1"/>
  <c r="G311" i="2"/>
  <c r="H311" i="5" s="1"/>
  <c r="G312" i="2"/>
  <c r="H312" i="5" s="1"/>
  <c r="G313" i="2"/>
  <c r="G314" i="2"/>
  <c r="G315" i="2"/>
  <c r="H315" i="5" s="1"/>
  <c r="G316" i="2"/>
  <c r="G317" i="2"/>
  <c r="H317" i="5" s="1"/>
  <c r="G318" i="2"/>
  <c r="G319" i="2"/>
  <c r="G320" i="2"/>
  <c r="H320" i="5" s="1"/>
  <c r="G321" i="2"/>
  <c r="H321" i="5" s="1"/>
  <c r="G322" i="2"/>
  <c r="H322" i="5" s="1"/>
  <c r="G323" i="2"/>
  <c r="G324" i="2"/>
  <c r="G325" i="2"/>
  <c r="G326" i="2"/>
  <c r="G327" i="2"/>
  <c r="H327" i="5" s="1"/>
  <c r="G328" i="2"/>
  <c r="H328" i="5" s="1"/>
  <c r="G329" i="2"/>
  <c r="H329" i="5" s="1"/>
  <c r="G330" i="2"/>
  <c r="G331" i="2"/>
  <c r="G332" i="2"/>
  <c r="G333" i="2"/>
  <c r="G334" i="2"/>
  <c r="H334" i="5" s="1"/>
  <c r="G335" i="2"/>
  <c r="H335" i="5" s="1"/>
  <c r="G336" i="2"/>
  <c r="H336" i="5" s="1"/>
  <c r="G337" i="2"/>
  <c r="G338" i="2"/>
  <c r="G339" i="2"/>
  <c r="H339" i="5" s="1"/>
  <c r="G340" i="2"/>
  <c r="G341" i="2"/>
  <c r="G342" i="2"/>
  <c r="H342" i="5" s="1"/>
  <c r="G343" i="2"/>
  <c r="H343" i="5" s="1"/>
  <c r="G344" i="2"/>
  <c r="H344" i="5" s="1"/>
  <c r="G345" i="2"/>
  <c r="G346" i="2"/>
  <c r="H346" i="5" s="1"/>
  <c r="G347" i="2"/>
  <c r="G348" i="2"/>
  <c r="G349" i="2"/>
  <c r="G350" i="2"/>
  <c r="G351" i="2"/>
  <c r="H351" i="5" s="1"/>
  <c r="G352" i="2"/>
  <c r="H352" i="5" s="1"/>
  <c r="G353" i="2"/>
  <c r="H353" i="5" s="1"/>
  <c r="G354" i="2"/>
  <c r="H354" i="5" s="1"/>
  <c r="G355" i="2"/>
  <c r="H355" i="5" s="1"/>
  <c r="G356" i="2"/>
  <c r="G357" i="2"/>
  <c r="H357" i="5" s="1"/>
  <c r="G358" i="2"/>
  <c r="H358" i="5" s="1"/>
  <c r="G359" i="2"/>
  <c r="H359" i="5" s="1"/>
  <c r="G360" i="2"/>
  <c r="H360" i="5" s="1"/>
  <c r="G361" i="2"/>
  <c r="G362" i="2"/>
  <c r="G363" i="2"/>
  <c r="G364" i="2"/>
  <c r="H364" i="5" s="1"/>
  <c r="G365" i="2"/>
  <c r="H365" i="5" s="1"/>
  <c r="G366" i="2"/>
  <c r="H366" i="5" s="1"/>
  <c r="G367" i="2"/>
  <c r="H367" i="5" s="1"/>
  <c r="G368" i="2"/>
  <c r="H368" i="5" s="1"/>
  <c r="G369" i="2"/>
  <c r="G370" i="2"/>
  <c r="G371" i="2"/>
  <c r="H371" i="5" s="1"/>
  <c r="G372" i="2"/>
  <c r="G373" i="2"/>
  <c r="G374" i="2"/>
  <c r="H374" i="5" s="1"/>
  <c r="G375" i="2"/>
  <c r="H375" i="5" s="1"/>
  <c r="G376" i="2"/>
  <c r="H376" i="5" s="1"/>
  <c r="G377" i="2"/>
  <c r="H377" i="5" s="1"/>
  <c r="G378" i="2"/>
  <c r="G379" i="2"/>
  <c r="H379" i="5" s="1"/>
  <c r="G380" i="2"/>
  <c r="G381" i="2"/>
  <c r="H381" i="5" s="1"/>
  <c r="G382" i="2"/>
  <c r="H382" i="5" s="1"/>
  <c r="G383" i="2"/>
  <c r="G384" i="2"/>
  <c r="H384" i="5" s="1"/>
  <c r="G385" i="2"/>
  <c r="G386" i="2"/>
  <c r="G387" i="2"/>
  <c r="G388" i="2"/>
  <c r="H388" i="5" s="1"/>
  <c r="G389" i="2"/>
  <c r="G390" i="2"/>
  <c r="G391" i="2"/>
  <c r="H391" i="5" s="1"/>
  <c r="G392" i="2"/>
  <c r="H392" i="5" s="1"/>
  <c r="G393" i="2"/>
  <c r="G394" i="2"/>
  <c r="H394" i="5" s="1"/>
  <c r="G395" i="2"/>
  <c r="G396" i="2"/>
  <c r="G397" i="2"/>
  <c r="G398" i="2"/>
  <c r="H398" i="5" s="1"/>
  <c r="G399" i="2"/>
  <c r="H399" i="5" s="1"/>
  <c r="G400" i="2"/>
  <c r="H400" i="5" s="1"/>
  <c r="G401" i="2"/>
  <c r="H401" i="5" s="1"/>
  <c r="G402" i="2"/>
  <c r="G403" i="2"/>
  <c r="G404" i="2"/>
  <c r="G405" i="2"/>
  <c r="H405" i="5" s="1"/>
  <c r="G406" i="2"/>
  <c r="H406" i="5" s="1"/>
  <c r="G407" i="2"/>
  <c r="H407" i="5" s="1"/>
  <c r="G408" i="2"/>
  <c r="H408" i="5" s="1"/>
  <c r="G409" i="2"/>
  <c r="G410" i="2"/>
  <c r="H410" i="5" s="1"/>
  <c r="G411" i="2"/>
  <c r="G412" i="2"/>
  <c r="G413" i="2"/>
  <c r="G414" i="2"/>
  <c r="G415" i="2"/>
  <c r="H415" i="5" s="1"/>
  <c r="G416" i="2"/>
  <c r="H416" i="5" s="1"/>
  <c r="G417" i="2"/>
  <c r="H417" i="5" s="1"/>
  <c r="G418" i="2"/>
  <c r="H418" i="5" s="1"/>
  <c r="G419" i="2"/>
  <c r="H419" i="5" s="1"/>
  <c r="G420" i="2"/>
  <c r="G421" i="2"/>
  <c r="H421" i="5" s="1"/>
  <c r="G422" i="2"/>
  <c r="H422" i="5" s="1"/>
  <c r="G423" i="2"/>
  <c r="H423" i="5" s="1"/>
  <c r="G424" i="2"/>
  <c r="H424" i="5" s="1"/>
  <c r="G425" i="2"/>
  <c r="H425" i="5" s="1"/>
  <c r="G426" i="2"/>
  <c r="G427" i="2"/>
  <c r="G428" i="2"/>
  <c r="G429" i="2"/>
  <c r="H429" i="5" s="1"/>
  <c r="G430" i="2"/>
  <c r="H430" i="5" s="1"/>
  <c r="G431" i="2"/>
  <c r="H431" i="5" s="1"/>
  <c r="G432" i="2"/>
  <c r="H432" i="5" s="1"/>
  <c r="G433" i="2"/>
  <c r="G434" i="2"/>
  <c r="G435" i="2"/>
  <c r="H435" i="5" s="1"/>
  <c r="G436" i="2"/>
  <c r="H436" i="5" s="1"/>
  <c r="G437" i="2"/>
  <c r="G438" i="2"/>
  <c r="H438" i="5" s="1"/>
  <c r="G439" i="2"/>
  <c r="H439" i="5" s="1"/>
  <c r="G440" i="2"/>
  <c r="H440" i="5" s="1"/>
  <c r="G441" i="2"/>
  <c r="G442" i="2"/>
  <c r="H442" i="5" s="1"/>
  <c r="G443" i="2"/>
  <c r="H443" i="5" s="1"/>
  <c r="G444" i="2"/>
  <c r="G445" i="2"/>
  <c r="G446" i="2"/>
  <c r="G447" i="2"/>
  <c r="G448" i="2"/>
  <c r="H448" i="5" s="1"/>
  <c r="G449" i="2"/>
  <c r="H449" i="5" s="1"/>
  <c r="G450" i="2"/>
  <c r="G451" i="2"/>
  <c r="G452" i="2"/>
  <c r="G453" i="2"/>
  <c r="H453" i="5" s="1"/>
  <c r="G454" i="2"/>
  <c r="H454" i="5" s="1"/>
  <c r="G455" i="2"/>
  <c r="H455" i="5" s="1"/>
  <c r="G456" i="2"/>
  <c r="H456" i="5" s="1"/>
  <c r="G457" i="2"/>
  <c r="G458" i="2"/>
  <c r="G459" i="2"/>
  <c r="G460" i="2"/>
  <c r="G461" i="2"/>
  <c r="G462" i="2"/>
  <c r="H462" i="5" s="1"/>
  <c r="G463" i="2"/>
  <c r="H463" i="5" s="1"/>
  <c r="G464" i="2"/>
  <c r="H464" i="5" s="1"/>
  <c r="G465" i="2"/>
  <c r="H465" i="5" s="1"/>
  <c r="G466" i="2"/>
  <c r="H466" i="5" s="1"/>
  <c r="G467" i="2"/>
  <c r="H467" i="5" s="1"/>
  <c r="G468" i="2"/>
  <c r="G469" i="2"/>
  <c r="G470" i="2"/>
  <c r="H470" i="5" s="1"/>
  <c r="G471" i="2"/>
  <c r="H471" i="5" s="1"/>
  <c r="G472" i="2"/>
  <c r="H472" i="5" s="1"/>
  <c r="G473" i="2"/>
  <c r="G474" i="2"/>
  <c r="H474" i="5" s="1"/>
  <c r="G475" i="2"/>
  <c r="G476" i="2"/>
  <c r="G477" i="2"/>
  <c r="H477" i="5" s="1"/>
  <c r="G478" i="2"/>
  <c r="H478" i="5" s="1"/>
  <c r="G479" i="2"/>
  <c r="H479" i="5" s="1"/>
  <c r="G480" i="2"/>
  <c r="H480" i="5" s="1"/>
  <c r="G481" i="2"/>
  <c r="G482" i="2"/>
  <c r="H482" i="5" s="1"/>
  <c r="G483" i="2"/>
  <c r="H483" i="5" s="1"/>
  <c r="G484" i="2"/>
  <c r="G485" i="2"/>
  <c r="H485" i="5" s="1"/>
  <c r="G486" i="2"/>
  <c r="G487" i="2"/>
  <c r="H487" i="5" s="1"/>
  <c r="G488" i="2"/>
  <c r="H488" i="5" s="1"/>
  <c r="G489" i="2"/>
  <c r="G490" i="2"/>
  <c r="H490" i="5" s="1"/>
  <c r="G491" i="2"/>
  <c r="H491" i="5" s="1"/>
  <c r="G492" i="2"/>
  <c r="G493" i="2"/>
  <c r="H493" i="5" s="1"/>
  <c r="G494" i="2"/>
  <c r="H494" i="5" s="1"/>
  <c r="G495" i="2"/>
  <c r="H495" i="5" s="1"/>
  <c r="G496" i="2"/>
  <c r="H496" i="5" s="1"/>
  <c r="G497" i="2"/>
  <c r="H497" i="5" s="1"/>
  <c r="G498" i="2"/>
  <c r="G499" i="2"/>
  <c r="H499" i="5" s="1"/>
  <c r="G500" i="2"/>
  <c r="G501" i="2"/>
  <c r="H501" i="5" s="1"/>
  <c r="G502" i="2"/>
  <c r="H502" i="5" s="1"/>
  <c r="G503" i="2"/>
  <c r="H503" i="5" s="1"/>
  <c r="G504" i="2"/>
  <c r="H504" i="5" s="1"/>
  <c r="G505" i="2"/>
  <c r="G506" i="2"/>
  <c r="G507" i="2"/>
  <c r="H507" i="5" s="1"/>
  <c r="G508" i="2"/>
  <c r="G509" i="2"/>
  <c r="H134" i="5"/>
  <c r="H135" i="5"/>
  <c r="H167" i="5"/>
  <c r="H198" i="5"/>
  <c r="H199" i="5"/>
  <c r="H222" i="5"/>
  <c r="H223" i="5"/>
  <c r="H230" i="5"/>
  <c r="H254" i="5"/>
  <c r="H255" i="5"/>
  <c r="H262" i="5"/>
  <c r="H287" i="5"/>
  <c r="H318" i="5"/>
  <c r="H319" i="5"/>
  <c r="H326" i="5"/>
  <c r="H350" i="5"/>
  <c r="H383" i="5"/>
  <c r="H390" i="5"/>
  <c r="H414" i="5"/>
  <c r="H446" i="5"/>
  <c r="H447" i="5"/>
  <c r="H486" i="5"/>
  <c r="H124" i="5"/>
  <c r="H131" i="5"/>
  <c r="H132" i="5"/>
  <c r="H133" i="5"/>
  <c r="H138" i="5"/>
  <c r="H139" i="5"/>
  <c r="H140" i="5"/>
  <c r="H141" i="5"/>
  <c r="H145" i="5"/>
  <c r="H146" i="5"/>
  <c r="H147" i="5"/>
  <c r="H148" i="5"/>
  <c r="H149" i="5"/>
  <c r="H153" i="5"/>
  <c r="H156" i="5"/>
  <c r="H157" i="5"/>
  <c r="H164" i="5"/>
  <c r="H169" i="5"/>
  <c r="H170" i="5"/>
  <c r="H171" i="5"/>
  <c r="H172" i="5"/>
  <c r="H180" i="5"/>
  <c r="H181" i="5"/>
  <c r="H186" i="5"/>
  <c r="H188" i="5"/>
  <c r="H193" i="5"/>
  <c r="H194" i="5"/>
  <c r="H195" i="5"/>
  <c r="H196" i="5"/>
  <c r="H203" i="5"/>
  <c r="H204" i="5"/>
  <c r="H205" i="5"/>
  <c r="H210" i="5"/>
  <c r="H211" i="5"/>
  <c r="H212" i="5"/>
  <c r="H213" i="5"/>
  <c r="H217" i="5"/>
  <c r="H220" i="5"/>
  <c r="H225" i="5"/>
  <c r="H228" i="5"/>
  <c r="H234" i="5"/>
  <c r="H236" i="5"/>
  <c r="H241" i="5"/>
  <c r="H242" i="5"/>
  <c r="H244" i="5"/>
  <c r="H252" i="5"/>
  <c r="H253" i="5"/>
  <c r="H258" i="5"/>
  <c r="H260" i="5"/>
  <c r="H265" i="5"/>
  <c r="H266" i="5"/>
  <c r="H267" i="5"/>
  <c r="H268" i="5"/>
  <c r="H273" i="5"/>
  <c r="H274" i="5"/>
  <c r="H275" i="5"/>
  <c r="H276" i="5"/>
  <c r="H277" i="5"/>
  <c r="H283" i="5"/>
  <c r="H284" i="5"/>
  <c r="H285" i="5"/>
  <c r="H289" i="5"/>
  <c r="H292" i="5"/>
  <c r="H299" i="5"/>
  <c r="H300" i="5"/>
  <c r="H306" i="5"/>
  <c r="H308" i="5"/>
  <c r="H313" i="5"/>
  <c r="H314" i="5"/>
  <c r="H316" i="5"/>
  <c r="H323" i="5"/>
  <c r="H324" i="5"/>
  <c r="H325" i="5"/>
  <c r="H330" i="5"/>
  <c r="H331" i="5"/>
  <c r="H332" i="5"/>
  <c r="H333" i="5"/>
  <c r="H337" i="5"/>
  <c r="H338" i="5"/>
  <c r="H340" i="5"/>
  <c r="H341" i="5"/>
  <c r="H345" i="5"/>
  <c r="H347" i="5"/>
  <c r="H348" i="5"/>
  <c r="H349" i="5"/>
  <c r="H356" i="5"/>
  <c r="H361" i="5"/>
  <c r="H362" i="5"/>
  <c r="H363" i="5"/>
  <c r="H369" i="5"/>
  <c r="H370" i="5"/>
  <c r="H372" i="5"/>
  <c r="H373" i="5"/>
  <c r="H378" i="5"/>
  <c r="H380" i="5"/>
  <c r="H385" i="5"/>
  <c r="H386" i="5"/>
  <c r="H387" i="5"/>
  <c r="H389" i="5"/>
  <c r="H393" i="5"/>
  <c r="H395" i="5"/>
  <c r="H396" i="5"/>
  <c r="H397" i="5"/>
  <c r="H402" i="5"/>
  <c r="H403" i="5"/>
  <c r="H404" i="5"/>
  <c r="H409" i="5"/>
  <c r="H411" i="5"/>
  <c r="H412" i="5"/>
  <c r="H413" i="5"/>
  <c r="H420" i="5"/>
  <c r="H426" i="5"/>
  <c r="H427" i="5"/>
  <c r="H428" i="5"/>
  <c r="H433" i="5"/>
  <c r="H434" i="5"/>
  <c r="H437" i="5"/>
  <c r="H441" i="5"/>
  <c r="H444" i="5"/>
  <c r="H445" i="5"/>
  <c r="H450" i="5"/>
  <c r="H451" i="5"/>
  <c r="H452" i="5"/>
  <c r="H457" i="5"/>
  <c r="H458" i="5"/>
  <c r="H459" i="5"/>
  <c r="H460" i="5"/>
  <c r="H461" i="5"/>
  <c r="H468" i="5"/>
  <c r="H469" i="5"/>
  <c r="H473" i="5"/>
  <c r="H475" i="5"/>
  <c r="H476" i="5"/>
  <c r="H481" i="5"/>
  <c r="H484" i="5"/>
  <c r="H489" i="5"/>
  <c r="H492" i="5"/>
  <c r="H498" i="5"/>
  <c r="H500" i="5"/>
  <c r="H505" i="5"/>
  <c r="H506" i="5"/>
  <c r="H508" i="5"/>
  <c r="F11" i="10" l="1"/>
  <c r="F9" i="10"/>
  <c r="F10" i="10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9" i="3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8" i="2" s="1"/>
  <c r="B29" i="3" l="1"/>
  <c r="B24" i="2"/>
  <c r="B16" i="2"/>
  <c r="B23" i="2"/>
  <c r="B15" i="2"/>
  <c r="B22" i="2"/>
  <c r="B14" i="2"/>
  <c r="B21" i="2"/>
  <c r="B13" i="2"/>
  <c r="B20" i="2"/>
  <c r="B12" i="2"/>
  <c r="B27" i="2"/>
  <c r="B19" i="2"/>
  <c r="B11" i="2"/>
  <c r="B26" i="2"/>
  <c r="B18" i="2"/>
  <c r="B10" i="2"/>
  <c r="B25" i="2"/>
  <c r="B17" i="2"/>
  <c r="B9" i="2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B29" i="2" l="1"/>
  <c r="B30" i="3"/>
  <c r="L4" i="5"/>
  <c r="S4" i="5" s="1"/>
  <c r="L3" i="5"/>
  <c r="S3" i="5" s="1"/>
  <c r="C501" i="5"/>
  <c r="B501" i="5" s="1"/>
  <c r="C502" i="5"/>
  <c r="B502" i="5" s="1"/>
  <c r="C503" i="5"/>
  <c r="B503" i="5" s="1"/>
  <c r="C504" i="5"/>
  <c r="B504" i="5" s="1"/>
  <c r="C505" i="5"/>
  <c r="B505" i="5" s="1"/>
  <c r="C506" i="5"/>
  <c r="B506" i="5" s="1"/>
  <c r="C507" i="5"/>
  <c r="B507" i="5" s="1"/>
  <c r="C508" i="5"/>
  <c r="B508" i="5" s="1"/>
  <c r="D501" i="5"/>
  <c r="D502" i="5"/>
  <c r="D503" i="5"/>
  <c r="D504" i="5"/>
  <c r="D505" i="5"/>
  <c r="D506" i="5"/>
  <c r="D507" i="5"/>
  <c r="D50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B123" i="5" s="1"/>
  <c r="C124" i="5"/>
  <c r="B124" i="5" s="1"/>
  <c r="C125" i="5"/>
  <c r="B125" i="5" s="1"/>
  <c r="C126" i="5"/>
  <c r="B126" i="5" s="1"/>
  <c r="C127" i="5"/>
  <c r="B127" i="5" s="1"/>
  <c r="C128" i="5"/>
  <c r="B128" i="5" s="1"/>
  <c r="C129" i="5"/>
  <c r="B129" i="5" s="1"/>
  <c r="C130" i="5"/>
  <c r="B130" i="5" s="1"/>
  <c r="C131" i="5"/>
  <c r="B131" i="5" s="1"/>
  <c r="C132" i="5"/>
  <c r="B132" i="5" s="1"/>
  <c r="C133" i="5"/>
  <c r="B133" i="5" s="1"/>
  <c r="C134" i="5"/>
  <c r="B134" i="5" s="1"/>
  <c r="C135" i="5"/>
  <c r="B135" i="5" s="1"/>
  <c r="C136" i="5"/>
  <c r="B136" i="5" s="1"/>
  <c r="C137" i="5"/>
  <c r="B137" i="5" s="1"/>
  <c r="C138" i="5"/>
  <c r="B138" i="5" s="1"/>
  <c r="C139" i="5"/>
  <c r="B139" i="5" s="1"/>
  <c r="C140" i="5"/>
  <c r="B140" i="5" s="1"/>
  <c r="C141" i="5"/>
  <c r="B141" i="5" s="1"/>
  <c r="C142" i="5"/>
  <c r="B142" i="5" s="1"/>
  <c r="C143" i="5"/>
  <c r="B143" i="5" s="1"/>
  <c r="C144" i="5"/>
  <c r="B144" i="5" s="1"/>
  <c r="C145" i="5"/>
  <c r="B145" i="5" s="1"/>
  <c r="C146" i="5"/>
  <c r="B146" i="5" s="1"/>
  <c r="C147" i="5"/>
  <c r="B147" i="5" s="1"/>
  <c r="C148" i="5"/>
  <c r="B148" i="5" s="1"/>
  <c r="C149" i="5"/>
  <c r="B149" i="5" s="1"/>
  <c r="C150" i="5"/>
  <c r="B150" i="5" s="1"/>
  <c r="C151" i="5"/>
  <c r="B151" i="5" s="1"/>
  <c r="C152" i="5"/>
  <c r="B152" i="5" s="1"/>
  <c r="C153" i="5"/>
  <c r="B153" i="5" s="1"/>
  <c r="C154" i="5"/>
  <c r="B154" i="5" s="1"/>
  <c r="C155" i="5"/>
  <c r="B155" i="5" s="1"/>
  <c r="C156" i="5"/>
  <c r="B156" i="5" s="1"/>
  <c r="C157" i="5"/>
  <c r="B157" i="5" s="1"/>
  <c r="C158" i="5"/>
  <c r="B158" i="5" s="1"/>
  <c r="C159" i="5"/>
  <c r="B159" i="5" s="1"/>
  <c r="C160" i="5"/>
  <c r="B160" i="5" s="1"/>
  <c r="C161" i="5"/>
  <c r="B161" i="5" s="1"/>
  <c r="C162" i="5"/>
  <c r="B162" i="5" s="1"/>
  <c r="C163" i="5"/>
  <c r="B163" i="5" s="1"/>
  <c r="C164" i="5"/>
  <c r="B164" i="5" s="1"/>
  <c r="C165" i="5"/>
  <c r="B165" i="5" s="1"/>
  <c r="C166" i="5"/>
  <c r="B166" i="5" s="1"/>
  <c r="C167" i="5"/>
  <c r="B167" i="5" s="1"/>
  <c r="C168" i="5"/>
  <c r="B168" i="5" s="1"/>
  <c r="C169" i="5"/>
  <c r="B169" i="5" s="1"/>
  <c r="C170" i="5"/>
  <c r="B170" i="5" s="1"/>
  <c r="C171" i="5"/>
  <c r="B171" i="5" s="1"/>
  <c r="C172" i="5"/>
  <c r="B172" i="5" s="1"/>
  <c r="C173" i="5"/>
  <c r="B173" i="5" s="1"/>
  <c r="C174" i="5"/>
  <c r="B174" i="5" s="1"/>
  <c r="C175" i="5"/>
  <c r="B175" i="5" s="1"/>
  <c r="C176" i="5"/>
  <c r="B176" i="5" s="1"/>
  <c r="C177" i="5"/>
  <c r="B177" i="5" s="1"/>
  <c r="C178" i="5"/>
  <c r="B178" i="5" s="1"/>
  <c r="C179" i="5"/>
  <c r="B179" i="5" s="1"/>
  <c r="C180" i="5"/>
  <c r="B180" i="5" s="1"/>
  <c r="C181" i="5"/>
  <c r="B181" i="5" s="1"/>
  <c r="C182" i="5"/>
  <c r="B182" i="5" s="1"/>
  <c r="C183" i="5"/>
  <c r="B183" i="5" s="1"/>
  <c r="C184" i="5"/>
  <c r="B184" i="5" s="1"/>
  <c r="C185" i="5"/>
  <c r="B185" i="5" s="1"/>
  <c r="C186" i="5"/>
  <c r="B186" i="5" s="1"/>
  <c r="C187" i="5"/>
  <c r="B187" i="5" s="1"/>
  <c r="C188" i="5"/>
  <c r="B188" i="5" s="1"/>
  <c r="C189" i="5"/>
  <c r="B189" i="5" s="1"/>
  <c r="C190" i="5"/>
  <c r="B190" i="5" s="1"/>
  <c r="C191" i="5"/>
  <c r="B191" i="5" s="1"/>
  <c r="C192" i="5"/>
  <c r="B192" i="5" s="1"/>
  <c r="C193" i="5"/>
  <c r="B193" i="5" s="1"/>
  <c r="C194" i="5"/>
  <c r="B194" i="5" s="1"/>
  <c r="C195" i="5"/>
  <c r="B195" i="5" s="1"/>
  <c r="C196" i="5"/>
  <c r="B196" i="5" s="1"/>
  <c r="C197" i="5"/>
  <c r="B197" i="5" s="1"/>
  <c r="C198" i="5"/>
  <c r="B198" i="5" s="1"/>
  <c r="C199" i="5"/>
  <c r="B199" i="5" s="1"/>
  <c r="C200" i="5"/>
  <c r="B200" i="5" s="1"/>
  <c r="C201" i="5"/>
  <c r="B201" i="5" s="1"/>
  <c r="C202" i="5"/>
  <c r="B202" i="5" s="1"/>
  <c r="C203" i="5"/>
  <c r="B203" i="5" s="1"/>
  <c r="C204" i="5"/>
  <c r="B204" i="5" s="1"/>
  <c r="C205" i="5"/>
  <c r="B205" i="5" s="1"/>
  <c r="C206" i="5"/>
  <c r="B206" i="5" s="1"/>
  <c r="C207" i="5"/>
  <c r="B207" i="5" s="1"/>
  <c r="C208" i="5"/>
  <c r="B208" i="5" s="1"/>
  <c r="C209" i="5"/>
  <c r="B209" i="5" s="1"/>
  <c r="C210" i="5"/>
  <c r="B210" i="5" s="1"/>
  <c r="C211" i="5"/>
  <c r="B211" i="5" s="1"/>
  <c r="C212" i="5"/>
  <c r="B212" i="5" s="1"/>
  <c r="C213" i="5"/>
  <c r="B213" i="5" s="1"/>
  <c r="C214" i="5"/>
  <c r="B214" i="5" s="1"/>
  <c r="C215" i="5"/>
  <c r="B215" i="5" s="1"/>
  <c r="C216" i="5"/>
  <c r="B216" i="5" s="1"/>
  <c r="C217" i="5"/>
  <c r="B217" i="5" s="1"/>
  <c r="C218" i="5"/>
  <c r="B218" i="5" s="1"/>
  <c r="C219" i="5"/>
  <c r="B219" i="5" s="1"/>
  <c r="C220" i="5"/>
  <c r="B220" i="5" s="1"/>
  <c r="C221" i="5"/>
  <c r="B221" i="5" s="1"/>
  <c r="C222" i="5"/>
  <c r="B222" i="5" s="1"/>
  <c r="C223" i="5"/>
  <c r="B223" i="5" s="1"/>
  <c r="C224" i="5"/>
  <c r="B224" i="5" s="1"/>
  <c r="C225" i="5"/>
  <c r="B225" i="5" s="1"/>
  <c r="C226" i="5"/>
  <c r="B226" i="5" s="1"/>
  <c r="C227" i="5"/>
  <c r="B227" i="5" s="1"/>
  <c r="C228" i="5"/>
  <c r="B228" i="5" s="1"/>
  <c r="C229" i="5"/>
  <c r="B229" i="5" s="1"/>
  <c r="C230" i="5"/>
  <c r="B230" i="5" s="1"/>
  <c r="C231" i="5"/>
  <c r="B231" i="5" s="1"/>
  <c r="C232" i="5"/>
  <c r="B232" i="5" s="1"/>
  <c r="C233" i="5"/>
  <c r="B233" i="5" s="1"/>
  <c r="C234" i="5"/>
  <c r="B234" i="5" s="1"/>
  <c r="C235" i="5"/>
  <c r="B235" i="5" s="1"/>
  <c r="C236" i="5"/>
  <c r="B236" i="5" s="1"/>
  <c r="C237" i="5"/>
  <c r="B237" i="5" s="1"/>
  <c r="C238" i="5"/>
  <c r="B238" i="5" s="1"/>
  <c r="C239" i="5"/>
  <c r="B239" i="5" s="1"/>
  <c r="C240" i="5"/>
  <c r="B240" i="5" s="1"/>
  <c r="C241" i="5"/>
  <c r="B241" i="5" s="1"/>
  <c r="C242" i="5"/>
  <c r="B242" i="5" s="1"/>
  <c r="C243" i="5"/>
  <c r="B243" i="5" s="1"/>
  <c r="C244" i="5"/>
  <c r="B244" i="5" s="1"/>
  <c r="C245" i="5"/>
  <c r="B245" i="5" s="1"/>
  <c r="C246" i="5"/>
  <c r="B246" i="5" s="1"/>
  <c r="C247" i="5"/>
  <c r="B247" i="5" s="1"/>
  <c r="C248" i="5"/>
  <c r="B248" i="5" s="1"/>
  <c r="C249" i="5"/>
  <c r="B249" i="5" s="1"/>
  <c r="C250" i="5"/>
  <c r="B250" i="5" s="1"/>
  <c r="C251" i="5"/>
  <c r="B251" i="5" s="1"/>
  <c r="C252" i="5"/>
  <c r="B252" i="5" s="1"/>
  <c r="C253" i="5"/>
  <c r="B253" i="5" s="1"/>
  <c r="C254" i="5"/>
  <c r="B254" i="5" s="1"/>
  <c r="C255" i="5"/>
  <c r="B255" i="5" s="1"/>
  <c r="C256" i="5"/>
  <c r="B256" i="5" s="1"/>
  <c r="C257" i="5"/>
  <c r="B257" i="5" s="1"/>
  <c r="C258" i="5"/>
  <c r="B258" i="5" s="1"/>
  <c r="C259" i="5"/>
  <c r="B259" i="5" s="1"/>
  <c r="C260" i="5"/>
  <c r="B260" i="5" s="1"/>
  <c r="C261" i="5"/>
  <c r="B261" i="5" s="1"/>
  <c r="C262" i="5"/>
  <c r="B262" i="5" s="1"/>
  <c r="C263" i="5"/>
  <c r="B263" i="5" s="1"/>
  <c r="C264" i="5"/>
  <c r="B264" i="5" s="1"/>
  <c r="C265" i="5"/>
  <c r="B265" i="5" s="1"/>
  <c r="C266" i="5"/>
  <c r="B266" i="5" s="1"/>
  <c r="C267" i="5"/>
  <c r="B267" i="5" s="1"/>
  <c r="C268" i="5"/>
  <c r="B268" i="5" s="1"/>
  <c r="C269" i="5"/>
  <c r="B269" i="5" s="1"/>
  <c r="C270" i="5"/>
  <c r="B270" i="5" s="1"/>
  <c r="C271" i="5"/>
  <c r="B271" i="5" s="1"/>
  <c r="C272" i="5"/>
  <c r="B272" i="5" s="1"/>
  <c r="C273" i="5"/>
  <c r="B273" i="5" s="1"/>
  <c r="C274" i="5"/>
  <c r="B274" i="5" s="1"/>
  <c r="C275" i="5"/>
  <c r="B275" i="5" s="1"/>
  <c r="C276" i="5"/>
  <c r="B276" i="5" s="1"/>
  <c r="C277" i="5"/>
  <c r="B277" i="5" s="1"/>
  <c r="C278" i="5"/>
  <c r="B278" i="5" s="1"/>
  <c r="C279" i="5"/>
  <c r="B279" i="5" s="1"/>
  <c r="C280" i="5"/>
  <c r="B280" i="5" s="1"/>
  <c r="C281" i="5"/>
  <c r="B281" i="5" s="1"/>
  <c r="C282" i="5"/>
  <c r="B282" i="5" s="1"/>
  <c r="C283" i="5"/>
  <c r="B283" i="5" s="1"/>
  <c r="C284" i="5"/>
  <c r="B284" i="5" s="1"/>
  <c r="C285" i="5"/>
  <c r="B285" i="5" s="1"/>
  <c r="C286" i="5"/>
  <c r="B286" i="5" s="1"/>
  <c r="C287" i="5"/>
  <c r="B287" i="5" s="1"/>
  <c r="C288" i="5"/>
  <c r="B288" i="5" s="1"/>
  <c r="C289" i="5"/>
  <c r="B289" i="5" s="1"/>
  <c r="C290" i="5"/>
  <c r="B290" i="5" s="1"/>
  <c r="C291" i="5"/>
  <c r="B291" i="5" s="1"/>
  <c r="C292" i="5"/>
  <c r="B292" i="5" s="1"/>
  <c r="C293" i="5"/>
  <c r="B293" i="5" s="1"/>
  <c r="C294" i="5"/>
  <c r="B294" i="5" s="1"/>
  <c r="C295" i="5"/>
  <c r="B295" i="5" s="1"/>
  <c r="C296" i="5"/>
  <c r="B296" i="5" s="1"/>
  <c r="C297" i="5"/>
  <c r="B297" i="5" s="1"/>
  <c r="C298" i="5"/>
  <c r="B298" i="5" s="1"/>
  <c r="C299" i="5"/>
  <c r="B299" i="5" s="1"/>
  <c r="C300" i="5"/>
  <c r="B300" i="5" s="1"/>
  <c r="C301" i="5"/>
  <c r="B301" i="5" s="1"/>
  <c r="C302" i="5"/>
  <c r="B302" i="5" s="1"/>
  <c r="C303" i="5"/>
  <c r="B303" i="5" s="1"/>
  <c r="C304" i="5"/>
  <c r="B304" i="5" s="1"/>
  <c r="C305" i="5"/>
  <c r="B305" i="5" s="1"/>
  <c r="C306" i="5"/>
  <c r="B306" i="5" s="1"/>
  <c r="C307" i="5"/>
  <c r="B307" i="5" s="1"/>
  <c r="C308" i="5"/>
  <c r="B308" i="5" s="1"/>
  <c r="C309" i="5"/>
  <c r="B309" i="5" s="1"/>
  <c r="C310" i="5"/>
  <c r="B310" i="5" s="1"/>
  <c r="C311" i="5"/>
  <c r="B311" i="5" s="1"/>
  <c r="C312" i="5"/>
  <c r="B312" i="5" s="1"/>
  <c r="C313" i="5"/>
  <c r="B313" i="5" s="1"/>
  <c r="C314" i="5"/>
  <c r="B314" i="5" s="1"/>
  <c r="C315" i="5"/>
  <c r="B315" i="5" s="1"/>
  <c r="C316" i="5"/>
  <c r="B316" i="5" s="1"/>
  <c r="C317" i="5"/>
  <c r="B317" i="5" s="1"/>
  <c r="C318" i="5"/>
  <c r="B318" i="5" s="1"/>
  <c r="C319" i="5"/>
  <c r="B319" i="5" s="1"/>
  <c r="C320" i="5"/>
  <c r="B320" i="5" s="1"/>
  <c r="C321" i="5"/>
  <c r="B321" i="5" s="1"/>
  <c r="C322" i="5"/>
  <c r="B322" i="5" s="1"/>
  <c r="C323" i="5"/>
  <c r="B323" i="5" s="1"/>
  <c r="C324" i="5"/>
  <c r="B324" i="5" s="1"/>
  <c r="C325" i="5"/>
  <c r="B325" i="5" s="1"/>
  <c r="C326" i="5"/>
  <c r="B326" i="5" s="1"/>
  <c r="C327" i="5"/>
  <c r="B327" i="5" s="1"/>
  <c r="C328" i="5"/>
  <c r="B328" i="5" s="1"/>
  <c r="C329" i="5"/>
  <c r="B329" i="5" s="1"/>
  <c r="C330" i="5"/>
  <c r="B330" i="5" s="1"/>
  <c r="C331" i="5"/>
  <c r="B331" i="5" s="1"/>
  <c r="C332" i="5"/>
  <c r="B332" i="5" s="1"/>
  <c r="C333" i="5"/>
  <c r="B333" i="5" s="1"/>
  <c r="C334" i="5"/>
  <c r="B334" i="5" s="1"/>
  <c r="C335" i="5"/>
  <c r="B335" i="5" s="1"/>
  <c r="C336" i="5"/>
  <c r="B336" i="5" s="1"/>
  <c r="C337" i="5"/>
  <c r="B337" i="5" s="1"/>
  <c r="C338" i="5"/>
  <c r="B338" i="5" s="1"/>
  <c r="C339" i="5"/>
  <c r="B339" i="5" s="1"/>
  <c r="C340" i="5"/>
  <c r="B340" i="5" s="1"/>
  <c r="C341" i="5"/>
  <c r="B341" i="5" s="1"/>
  <c r="C342" i="5"/>
  <c r="B342" i="5" s="1"/>
  <c r="C343" i="5"/>
  <c r="B343" i="5" s="1"/>
  <c r="C344" i="5"/>
  <c r="B344" i="5" s="1"/>
  <c r="C345" i="5"/>
  <c r="B345" i="5" s="1"/>
  <c r="C346" i="5"/>
  <c r="B346" i="5" s="1"/>
  <c r="C347" i="5"/>
  <c r="B347" i="5" s="1"/>
  <c r="C348" i="5"/>
  <c r="B348" i="5" s="1"/>
  <c r="C349" i="5"/>
  <c r="B349" i="5" s="1"/>
  <c r="C350" i="5"/>
  <c r="B350" i="5" s="1"/>
  <c r="C351" i="5"/>
  <c r="B351" i="5" s="1"/>
  <c r="C352" i="5"/>
  <c r="B352" i="5" s="1"/>
  <c r="C353" i="5"/>
  <c r="B353" i="5" s="1"/>
  <c r="C354" i="5"/>
  <c r="B354" i="5" s="1"/>
  <c r="C355" i="5"/>
  <c r="B355" i="5" s="1"/>
  <c r="C356" i="5"/>
  <c r="B356" i="5" s="1"/>
  <c r="C357" i="5"/>
  <c r="B357" i="5" s="1"/>
  <c r="C358" i="5"/>
  <c r="B358" i="5" s="1"/>
  <c r="C359" i="5"/>
  <c r="B359" i="5" s="1"/>
  <c r="C360" i="5"/>
  <c r="B360" i="5" s="1"/>
  <c r="C361" i="5"/>
  <c r="B361" i="5" s="1"/>
  <c r="C362" i="5"/>
  <c r="B362" i="5" s="1"/>
  <c r="C363" i="5"/>
  <c r="B363" i="5" s="1"/>
  <c r="C364" i="5"/>
  <c r="B364" i="5" s="1"/>
  <c r="C365" i="5"/>
  <c r="B365" i="5" s="1"/>
  <c r="C366" i="5"/>
  <c r="B366" i="5" s="1"/>
  <c r="C367" i="5"/>
  <c r="B367" i="5" s="1"/>
  <c r="C368" i="5"/>
  <c r="B368" i="5" s="1"/>
  <c r="C369" i="5"/>
  <c r="B369" i="5" s="1"/>
  <c r="C370" i="5"/>
  <c r="B370" i="5" s="1"/>
  <c r="C371" i="5"/>
  <c r="B371" i="5" s="1"/>
  <c r="C372" i="5"/>
  <c r="B372" i="5" s="1"/>
  <c r="C373" i="5"/>
  <c r="B373" i="5" s="1"/>
  <c r="C374" i="5"/>
  <c r="B374" i="5" s="1"/>
  <c r="C375" i="5"/>
  <c r="B375" i="5" s="1"/>
  <c r="C376" i="5"/>
  <c r="B376" i="5" s="1"/>
  <c r="C377" i="5"/>
  <c r="B377" i="5" s="1"/>
  <c r="C378" i="5"/>
  <c r="B378" i="5" s="1"/>
  <c r="C379" i="5"/>
  <c r="B379" i="5" s="1"/>
  <c r="C380" i="5"/>
  <c r="B380" i="5" s="1"/>
  <c r="C381" i="5"/>
  <c r="B381" i="5" s="1"/>
  <c r="C382" i="5"/>
  <c r="B382" i="5" s="1"/>
  <c r="C383" i="5"/>
  <c r="B383" i="5" s="1"/>
  <c r="C384" i="5"/>
  <c r="B384" i="5" s="1"/>
  <c r="C385" i="5"/>
  <c r="B385" i="5" s="1"/>
  <c r="C386" i="5"/>
  <c r="B386" i="5" s="1"/>
  <c r="C387" i="5"/>
  <c r="B387" i="5" s="1"/>
  <c r="C388" i="5"/>
  <c r="B388" i="5" s="1"/>
  <c r="C389" i="5"/>
  <c r="B389" i="5" s="1"/>
  <c r="C390" i="5"/>
  <c r="B390" i="5" s="1"/>
  <c r="C391" i="5"/>
  <c r="B391" i="5" s="1"/>
  <c r="C392" i="5"/>
  <c r="B392" i="5" s="1"/>
  <c r="C393" i="5"/>
  <c r="B393" i="5" s="1"/>
  <c r="C394" i="5"/>
  <c r="B394" i="5" s="1"/>
  <c r="C395" i="5"/>
  <c r="B395" i="5" s="1"/>
  <c r="C396" i="5"/>
  <c r="B396" i="5" s="1"/>
  <c r="C397" i="5"/>
  <c r="B397" i="5" s="1"/>
  <c r="C398" i="5"/>
  <c r="B398" i="5" s="1"/>
  <c r="C399" i="5"/>
  <c r="B399" i="5" s="1"/>
  <c r="C400" i="5"/>
  <c r="B400" i="5" s="1"/>
  <c r="C401" i="5"/>
  <c r="B401" i="5" s="1"/>
  <c r="C402" i="5"/>
  <c r="B402" i="5" s="1"/>
  <c r="C403" i="5"/>
  <c r="B403" i="5" s="1"/>
  <c r="C404" i="5"/>
  <c r="B404" i="5" s="1"/>
  <c r="C405" i="5"/>
  <c r="B405" i="5" s="1"/>
  <c r="C406" i="5"/>
  <c r="B406" i="5" s="1"/>
  <c r="C407" i="5"/>
  <c r="B407" i="5" s="1"/>
  <c r="C408" i="5"/>
  <c r="B408" i="5" s="1"/>
  <c r="C409" i="5"/>
  <c r="B409" i="5" s="1"/>
  <c r="C410" i="5"/>
  <c r="B410" i="5" s="1"/>
  <c r="C411" i="5"/>
  <c r="B411" i="5" s="1"/>
  <c r="C412" i="5"/>
  <c r="B412" i="5" s="1"/>
  <c r="C413" i="5"/>
  <c r="B413" i="5" s="1"/>
  <c r="C414" i="5"/>
  <c r="B414" i="5" s="1"/>
  <c r="C415" i="5"/>
  <c r="B415" i="5" s="1"/>
  <c r="C416" i="5"/>
  <c r="B416" i="5" s="1"/>
  <c r="C417" i="5"/>
  <c r="B417" i="5" s="1"/>
  <c r="C418" i="5"/>
  <c r="B418" i="5" s="1"/>
  <c r="C419" i="5"/>
  <c r="B419" i="5" s="1"/>
  <c r="C420" i="5"/>
  <c r="B420" i="5" s="1"/>
  <c r="C421" i="5"/>
  <c r="B421" i="5" s="1"/>
  <c r="C422" i="5"/>
  <c r="B422" i="5" s="1"/>
  <c r="C423" i="5"/>
  <c r="B423" i="5" s="1"/>
  <c r="C424" i="5"/>
  <c r="B424" i="5" s="1"/>
  <c r="C425" i="5"/>
  <c r="B425" i="5" s="1"/>
  <c r="C426" i="5"/>
  <c r="B426" i="5" s="1"/>
  <c r="C427" i="5"/>
  <c r="B427" i="5" s="1"/>
  <c r="C428" i="5"/>
  <c r="B428" i="5" s="1"/>
  <c r="C429" i="5"/>
  <c r="B429" i="5" s="1"/>
  <c r="C430" i="5"/>
  <c r="B430" i="5" s="1"/>
  <c r="C431" i="5"/>
  <c r="B431" i="5" s="1"/>
  <c r="C432" i="5"/>
  <c r="B432" i="5" s="1"/>
  <c r="C433" i="5"/>
  <c r="B433" i="5" s="1"/>
  <c r="C434" i="5"/>
  <c r="B434" i="5" s="1"/>
  <c r="C435" i="5"/>
  <c r="B435" i="5" s="1"/>
  <c r="C436" i="5"/>
  <c r="B436" i="5" s="1"/>
  <c r="C437" i="5"/>
  <c r="B437" i="5" s="1"/>
  <c r="C438" i="5"/>
  <c r="B438" i="5" s="1"/>
  <c r="C439" i="5"/>
  <c r="B439" i="5" s="1"/>
  <c r="C440" i="5"/>
  <c r="B440" i="5" s="1"/>
  <c r="C441" i="5"/>
  <c r="B441" i="5" s="1"/>
  <c r="C442" i="5"/>
  <c r="B442" i="5" s="1"/>
  <c r="C443" i="5"/>
  <c r="B443" i="5" s="1"/>
  <c r="C444" i="5"/>
  <c r="B444" i="5" s="1"/>
  <c r="C445" i="5"/>
  <c r="B445" i="5" s="1"/>
  <c r="C446" i="5"/>
  <c r="B446" i="5" s="1"/>
  <c r="C447" i="5"/>
  <c r="B447" i="5" s="1"/>
  <c r="C448" i="5"/>
  <c r="B448" i="5" s="1"/>
  <c r="C449" i="5"/>
  <c r="B449" i="5" s="1"/>
  <c r="C450" i="5"/>
  <c r="B450" i="5" s="1"/>
  <c r="C451" i="5"/>
  <c r="B451" i="5" s="1"/>
  <c r="C452" i="5"/>
  <c r="B452" i="5" s="1"/>
  <c r="C453" i="5"/>
  <c r="B453" i="5" s="1"/>
  <c r="C454" i="5"/>
  <c r="B454" i="5" s="1"/>
  <c r="C455" i="5"/>
  <c r="B455" i="5" s="1"/>
  <c r="C456" i="5"/>
  <c r="B456" i="5" s="1"/>
  <c r="C457" i="5"/>
  <c r="B457" i="5" s="1"/>
  <c r="C458" i="5"/>
  <c r="B458" i="5" s="1"/>
  <c r="C459" i="5"/>
  <c r="B459" i="5" s="1"/>
  <c r="C460" i="5"/>
  <c r="B460" i="5" s="1"/>
  <c r="C461" i="5"/>
  <c r="B461" i="5" s="1"/>
  <c r="C462" i="5"/>
  <c r="B462" i="5" s="1"/>
  <c r="C463" i="5"/>
  <c r="B463" i="5" s="1"/>
  <c r="C464" i="5"/>
  <c r="B464" i="5" s="1"/>
  <c r="C465" i="5"/>
  <c r="B465" i="5" s="1"/>
  <c r="C466" i="5"/>
  <c r="B466" i="5" s="1"/>
  <c r="C467" i="5"/>
  <c r="B467" i="5" s="1"/>
  <c r="C468" i="5"/>
  <c r="B468" i="5" s="1"/>
  <c r="C469" i="5"/>
  <c r="B469" i="5" s="1"/>
  <c r="C470" i="5"/>
  <c r="B470" i="5" s="1"/>
  <c r="C471" i="5"/>
  <c r="B471" i="5" s="1"/>
  <c r="C472" i="5"/>
  <c r="B472" i="5" s="1"/>
  <c r="C473" i="5"/>
  <c r="B473" i="5" s="1"/>
  <c r="C474" i="5"/>
  <c r="B474" i="5" s="1"/>
  <c r="C475" i="5"/>
  <c r="B475" i="5" s="1"/>
  <c r="C476" i="5"/>
  <c r="B476" i="5" s="1"/>
  <c r="C477" i="5"/>
  <c r="B477" i="5" s="1"/>
  <c r="C478" i="5"/>
  <c r="B478" i="5" s="1"/>
  <c r="C479" i="5"/>
  <c r="B479" i="5" s="1"/>
  <c r="C480" i="5"/>
  <c r="B480" i="5" s="1"/>
  <c r="C481" i="5"/>
  <c r="B481" i="5" s="1"/>
  <c r="C482" i="5"/>
  <c r="B482" i="5" s="1"/>
  <c r="C483" i="5"/>
  <c r="B483" i="5" s="1"/>
  <c r="C484" i="5"/>
  <c r="B484" i="5" s="1"/>
  <c r="C485" i="5"/>
  <c r="B485" i="5" s="1"/>
  <c r="C486" i="5"/>
  <c r="B486" i="5" s="1"/>
  <c r="C487" i="5"/>
  <c r="B487" i="5" s="1"/>
  <c r="C488" i="5"/>
  <c r="B488" i="5" s="1"/>
  <c r="C489" i="5"/>
  <c r="B489" i="5" s="1"/>
  <c r="C490" i="5"/>
  <c r="B490" i="5" s="1"/>
  <c r="C491" i="5"/>
  <c r="B491" i="5" s="1"/>
  <c r="C492" i="5"/>
  <c r="B492" i="5" s="1"/>
  <c r="C493" i="5"/>
  <c r="B493" i="5" s="1"/>
  <c r="C494" i="5"/>
  <c r="B494" i="5" s="1"/>
  <c r="C495" i="5"/>
  <c r="B495" i="5" s="1"/>
  <c r="C496" i="5"/>
  <c r="B496" i="5" s="1"/>
  <c r="C497" i="5"/>
  <c r="B497" i="5" s="1"/>
  <c r="C498" i="5"/>
  <c r="B498" i="5" s="1"/>
  <c r="C499" i="5"/>
  <c r="B499" i="5" s="1"/>
  <c r="C500" i="5"/>
  <c r="B500" i="5" s="1"/>
  <c r="I1" i="5"/>
  <c r="H4" i="5"/>
  <c r="E5" i="5"/>
  <c r="F5" i="5"/>
  <c r="F4" i="5"/>
  <c r="E4" i="5"/>
  <c r="G4" i="5"/>
  <c r="G5" i="5"/>
  <c r="H5" i="5"/>
  <c r="B29" i="5" l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30" i="2"/>
  <c r="B31" i="3"/>
  <c r="B9" i="5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C2" i="5"/>
  <c r="D2" i="3"/>
  <c r="B31" i="2" l="1"/>
  <c r="B32" i="3"/>
  <c r="E1" i="5"/>
  <c r="L2" i="5"/>
  <c r="M2" i="5"/>
  <c r="K2" i="5"/>
  <c r="I7" i="5"/>
  <c r="F1" i="5"/>
  <c r="H6" i="5"/>
  <c r="G1" i="5"/>
  <c r="E2" i="5"/>
  <c r="G2" i="5"/>
  <c r="F2" i="5"/>
  <c r="E3" i="5"/>
  <c r="C4" i="5"/>
  <c r="F3" i="5"/>
  <c r="C5" i="5"/>
  <c r="G3" i="5"/>
  <c r="H3" i="5"/>
  <c r="B32" i="2" l="1"/>
  <c r="B33" i="3"/>
  <c r="B33" i="2" l="1"/>
  <c r="B34" i="3"/>
  <c r="B34" i="2" l="1"/>
  <c r="B35" i="3"/>
  <c r="B35" i="2" l="1"/>
  <c r="B36" i="3"/>
  <c r="B36" i="2" l="1"/>
  <c r="B37" i="3"/>
  <c r="B37" i="2" l="1"/>
  <c r="B38" i="3"/>
  <c r="B38" i="2" l="1"/>
  <c r="B39" i="3"/>
  <c r="B39" i="2" l="1"/>
  <c r="B40" i="3"/>
  <c r="B40" i="2" l="1"/>
  <c r="B41" i="3"/>
  <c r="B41" i="2" l="1"/>
  <c r="B42" i="3"/>
  <c r="B42" i="2" l="1"/>
  <c r="B43" i="3"/>
  <c r="B43" i="2" l="1"/>
  <c r="B44" i="3"/>
  <c r="B44" i="2" l="1"/>
  <c r="B45" i="3"/>
  <c r="B45" i="2" l="1"/>
  <c r="B46" i="3"/>
  <c r="B46" i="2" l="1"/>
  <c r="B47" i="3"/>
  <c r="B47" i="2" l="1"/>
  <c r="B48" i="3"/>
  <c r="B48" i="2" l="1"/>
  <c r="B49" i="3"/>
  <c r="B49" i="2" l="1"/>
  <c r="B50" i="3"/>
  <c r="B50" i="2" l="1"/>
  <c r="B51" i="3"/>
  <c r="B51" i="2" l="1"/>
  <c r="B52" i="3"/>
  <c r="B52" i="2" l="1"/>
  <c r="B53" i="3"/>
  <c r="B53" i="2" l="1"/>
  <c r="B54" i="3"/>
  <c r="B54" i="2" l="1"/>
  <c r="B55" i="3"/>
  <c r="B55" i="2" l="1"/>
  <c r="B56" i="3"/>
  <c r="B56" i="2" l="1"/>
  <c r="B57" i="3"/>
  <c r="B57" i="2" l="1"/>
  <c r="B58" i="3"/>
  <c r="B58" i="2" l="1"/>
  <c r="B59" i="3"/>
  <c r="B59" i="2" l="1"/>
  <c r="B60" i="3"/>
  <c r="B60" i="2" l="1"/>
  <c r="B61" i="3"/>
  <c r="B61" i="2" l="1"/>
  <c r="B62" i="3"/>
  <c r="B62" i="2" l="1"/>
  <c r="B63" i="3"/>
  <c r="B63" i="2" l="1"/>
  <c r="B64" i="3"/>
  <c r="B64" i="2" l="1"/>
  <c r="B65" i="3"/>
  <c r="B65" i="2" l="1"/>
  <c r="B66" i="3"/>
  <c r="B66" i="2" l="1"/>
  <c r="B67" i="3"/>
  <c r="B67" i="2" l="1"/>
  <c r="B68" i="3"/>
  <c r="B68" i="2" l="1"/>
  <c r="B69" i="3"/>
  <c r="B69" i="2" l="1"/>
  <c r="B70" i="3"/>
  <c r="B70" i="2" l="1"/>
  <c r="B71" i="3"/>
  <c r="B71" i="2" l="1"/>
  <c r="B72" i="3"/>
  <c r="B72" i="2" l="1"/>
  <c r="B73" i="3"/>
  <c r="B74" i="3" l="1"/>
  <c r="B73" i="2"/>
  <c r="B75" i="3" l="1"/>
  <c r="B74" i="2"/>
  <c r="B76" i="3" l="1"/>
  <c r="B75" i="2"/>
  <c r="B77" i="3" l="1"/>
  <c r="B76" i="2"/>
  <c r="B78" i="3" l="1"/>
  <c r="B77" i="2"/>
  <c r="B79" i="3" l="1"/>
  <c r="B78" i="2"/>
  <c r="B80" i="3" l="1"/>
  <c r="B79" i="2"/>
  <c r="B81" i="3" l="1"/>
  <c r="B80" i="2"/>
  <c r="B82" i="3" l="1"/>
  <c r="B81" i="2"/>
  <c r="B83" i="3" l="1"/>
  <c r="B82" i="2"/>
  <c r="B84" i="3" l="1"/>
  <c r="B83" i="2"/>
  <c r="B85" i="3" l="1"/>
  <c r="B84" i="2"/>
  <c r="B86" i="3" l="1"/>
  <c r="B85" i="2"/>
  <c r="B87" i="3" l="1"/>
  <c r="B86" i="2"/>
  <c r="B88" i="3" l="1"/>
  <c r="B87" i="2"/>
  <c r="B89" i="3" l="1"/>
  <c r="B88" i="2"/>
  <c r="B90" i="3" l="1"/>
  <c r="B89" i="2"/>
  <c r="B91" i="3" l="1"/>
  <c r="B90" i="2"/>
  <c r="B92" i="3" l="1"/>
  <c r="B91" i="2"/>
  <c r="B93" i="3" l="1"/>
  <c r="B92" i="2"/>
  <c r="B94" i="3" l="1"/>
  <c r="B93" i="2"/>
  <c r="B95" i="3" l="1"/>
  <c r="B94" i="2"/>
  <c r="B96" i="3" l="1"/>
  <c r="B95" i="2"/>
  <c r="B97" i="3" l="1"/>
  <c r="B96" i="2"/>
  <c r="B98" i="3" l="1"/>
  <c r="B97" i="2"/>
  <c r="B99" i="3" l="1"/>
  <c r="B98" i="2"/>
  <c r="B100" i="3" l="1"/>
  <c r="B99" i="2"/>
  <c r="B101" i="3" l="1"/>
  <c r="B100" i="2"/>
  <c r="B102" i="3" l="1"/>
  <c r="B101" i="2"/>
  <c r="B103" i="3" l="1"/>
  <c r="B102" i="2"/>
  <c r="B104" i="3" l="1"/>
  <c r="B103" i="2"/>
  <c r="B105" i="3" l="1"/>
  <c r="B104" i="2"/>
  <c r="B106" i="3" l="1"/>
  <c r="B105" i="2"/>
  <c r="B107" i="3" l="1"/>
  <c r="B106" i="2"/>
  <c r="B108" i="3" l="1"/>
  <c r="B107" i="2"/>
  <c r="B109" i="3" l="1"/>
  <c r="B108" i="2"/>
  <c r="B110" i="3" l="1"/>
  <c r="B109" i="2"/>
  <c r="B111" i="3" l="1"/>
  <c r="B110" i="2"/>
  <c r="B112" i="3" l="1"/>
  <c r="B111" i="2"/>
  <c r="B113" i="3" l="1"/>
  <c r="B112" i="2"/>
  <c r="B114" i="3" l="1"/>
  <c r="B113" i="2"/>
  <c r="B115" i="3" l="1"/>
  <c r="B114" i="2"/>
  <c r="B116" i="3" l="1"/>
  <c r="B115" i="2"/>
  <c r="B117" i="3" l="1"/>
  <c r="B116" i="2"/>
  <c r="B118" i="3" l="1"/>
  <c r="B117" i="2"/>
  <c r="B119" i="3" l="1"/>
  <c r="B118" i="2"/>
  <c r="B120" i="3" l="1"/>
  <c r="B119" i="2"/>
  <c r="B121" i="3" l="1"/>
  <c r="B120" i="2"/>
  <c r="B122" i="3" l="1"/>
  <c r="B122" i="2" s="1"/>
  <c r="B121" i="2"/>
</calcChain>
</file>

<file path=xl/sharedStrings.xml><?xml version="1.0" encoding="utf-8"?>
<sst xmlns="http://schemas.openxmlformats.org/spreadsheetml/2006/main" count="739" uniqueCount="313">
  <si>
    <t>NAME</t>
  </si>
  <si>
    <t>FIN</t>
  </si>
  <si>
    <t>COMPLETION FLAG</t>
  </si>
  <si>
    <t>SCHEDULE FLAG</t>
  </si>
  <si>
    <t>EFFECTIVENESS FLAG</t>
  </si>
  <si>
    <t>COMP FLAG OR</t>
  </si>
  <si>
    <t>SCHED FLAG OR</t>
  </si>
  <si>
    <t>REVROW</t>
  </si>
  <si>
    <t>COMP</t>
  </si>
  <si>
    <t>TIMING</t>
  </si>
  <si>
    <t>EFF</t>
  </si>
  <si>
    <t>FLAGS</t>
  </si>
  <si>
    <t>C:\Users\kryan\Desktop\Compliance_Audits\INPATIENT_Pain_Assessment\Templates\IP_Review.Template.xlsx</t>
  </si>
  <si>
    <t>REVIEWED</t>
  </si>
  <si>
    <t>PATIENT NAME</t>
  </si>
  <si>
    <t>row</t>
  </si>
  <si>
    <t>ROW NO.</t>
  </si>
  <si>
    <t>ROW</t>
  </si>
  <si>
    <t>REVIEWED D/T</t>
  </si>
  <si>
    <t>EFFECTIVE FLAG OR</t>
  </si>
  <si>
    <t>REVIEW D/T</t>
  </si>
  <si>
    <t>Status</t>
  </si>
  <si>
    <t>C1</t>
  </si>
  <si>
    <t>C2</t>
  </si>
  <si>
    <t>C3</t>
  </si>
  <si>
    <t>C1 loaded:</t>
  </si>
  <si>
    <t>C2 loaded:</t>
  </si>
  <si>
    <t>C3 loaded:</t>
  </si>
  <si>
    <t>Sent by:</t>
  </si>
  <si>
    <t>Return To:</t>
  </si>
  <si>
    <t>DO NOT DELETE!!</t>
  </si>
  <si>
    <t>Job:</t>
  </si>
  <si>
    <t>SENT</t>
  </si>
  <si>
    <t>TO</t>
  </si>
  <si>
    <t>FROM</t>
  </si>
  <si>
    <t>RECEIVED</t>
  </si>
  <si>
    <t>FILE_ID</t>
  </si>
  <si>
    <t>JOB</t>
  </si>
  <si>
    <t>ROUTE PATH</t>
  </si>
  <si>
    <t>RETURNED</t>
  </si>
  <si>
    <t>ROOT PATH</t>
  </si>
  <si>
    <t>ADMIN</t>
  </si>
  <si>
    <t>COMP_FLAGS</t>
  </si>
  <si>
    <t>SCHED_FLAGS</t>
  </si>
  <si>
    <t>DTA</t>
  </si>
  <si>
    <t>COMP FLAGS</t>
  </si>
  <si>
    <t>inf_count</t>
  </si>
  <si>
    <t>prn_count</t>
  </si>
  <si>
    <t>narc_count</t>
  </si>
  <si>
    <t>nonnarc_count</t>
  </si>
  <si>
    <t>INF ratio</t>
  </si>
  <si>
    <t>PRN ratio</t>
  </si>
  <si>
    <t>narc_eff ratio</t>
  </si>
  <si>
    <t>nnarc_eff ratio</t>
  </si>
  <si>
    <t>ROW COUNTS</t>
  </si>
  <si>
    <t>APPLY</t>
  </si>
  <si>
    <t>PENDING</t>
  </si>
  <si>
    <t>kryan</t>
  </si>
  <si>
    <t>STAFF NAME</t>
  </si>
  <si>
    <t>EMR-Position (OPTIONAL)</t>
  </si>
  <si>
    <t>EMAIL (OPTIONAL)</t>
  </si>
  <si>
    <t>APPLY FLAGS?</t>
  </si>
  <si>
    <t>SOURCE</t>
  </si>
  <si>
    <t>kirk.ryan@shrinenet.org</t>
  </si>
  <si>
    <t>zMVf72p_bplc</t>
  </si>
  <si>
    <t>IP_Staff_Key.xlsm</t>
  </si>
  <si>
    <t>IP_SK_SEND</t>
  </si>
  <si>
    <t>C:\Users\kryan\Desktop\AuditBot\</t>
  </si>
  <si>
    <t>C:\Users\kryan\Desktop\Compliance_Audits_Dev\</t>
  </si>
  <si>
    <t>Adams RN, Kanani E</t>
  </si>
  <si>
    <t>Live_Data</t>
  </si>
  <si>
    <t>Boyd RN, BSN, Dorothy</t>
  </si>
  <si>
    <t>Brevik RN, Sierra</t>
  </si>
  <si>
    <t>Brown RN,BSN, Megan</t>
  </si>
  <si>
    <t>Cameron RN, Deborah</t>
  </si>
  <si>
    <t>Childers RN, Amber</t>
  </si>
  <si>
    <t>Gering RN, Esther</t>
  </si>
  <si>
    <t>Guy RN, Emily</t>
  </si>
  <si>
    <t>Herrera RN, Tenaha</t>
  </si>
  <si>
    <t>Kolhof RN, BSN, Audrey</t>
  </si>
  <si>
    <t>Kuespert RN, Courtney</t>
  </si>
  <si>
    <t>Lawson RN, Heather</t>
  </si>
  <si>
    <t>Linton RN, Chloe B</t>
  </si>
  <si>
    <t>Matheny RN, Jennifer</t>
  </si>
  <si>
    <t>Powell RN, Ann</t>
  </si>
  <si>
    <t>Rice RN BSN, Jennifer D</t>
  </si>
  <si>
    <t>Richardson RN, Gwynne</t>
  </si>
  <si>
    <t>Rouse BSN, RN, Gabrielle</t>
  </si>
  <si>
    <t>Sims RN, Brenda D.</t>
  </si>
  <si>
    <t>Springer RN, Jenee</t>
  </si>
  <si>
    <t>Walker RN, Sheila</t>
  </si>
  <si>
    <t>Hagerott RN, Jannell</t>
  </si>
  <si>
    <t>King RN, Mariah</t>
  </si>
  <si>
    <t>Boyd RN, Dorothy</t>
  </si>
  <si>
    <t>Newman RN, Tara</t>
  </si>
  <si>
    <t>Cvancara RN, BSN, Hannah</t>
  </si>
  <si>
    <t>Knisley RN, BSN, Sheila</t>
  </si>
  <si>
    <t>Lee RN, Shelley L</t>
  </si>
  <si>
    <t>McCrae RN, Kristen K</t>
  </si>
  <si>
    <t>Popek RN, BSN, Christina</t>
  </si>
  <si>
    <t>Smith, John RN</t>
  </si>
  <si>
    <t>DesJardin RN, Bonnie</t>
  </si>
  <si>
    <t>Test_Data</t>
  </si>
  <si>
    <t>Mittmann RN, Alexis</t>
  </si>
  <si>
    <t>EXEMPT</t>
  </si>
  <si>
    <t>Franks RN, BSN, Danielle</t>
  </si>
  <si>
    <t>Easterling RN, Jamie J</t>
  </si>
  <si>
    <t>Himelspach RN BSN, C'dra</t>
  </si>
  <si>
    <t>Knadler RN, Whitney</t>
  </si>
  <si>
    <t>Kuhn RN, Melissa</t>
  </si>
  <si>
    <t>Lindenfeld RN, Dorothy</t>
  </si>
  <si>
    <t>Marousek RN, Amanda</t>
  </si>
  <si>
    <t>May RN, Caroline</t>
  </si>
  <si>
    <t>Mikelson RN, Amanda</t>
  </si>
  <si>
    <t>Rettedal RN, Natalie</t>
  </si>
  <si>
    <t>Saenz RN, Bethanie</t>
  </si>
  <si>
    <t>Smathers RN, Kaela</t>
  </si>
  <si>
    <t>Thacker RN, Lucresha</t>
  </si>
  <si>
    <t>Thompson RN, Sara L</t>
  </si>
  <si>
    <t>Willer RN, Ella</t>
  </si>
  <si>
    <t>Aldrich RN, Rebekah</t>
  </si>
  <si>
    <t>Faulkner RN, Kendra N</t>
  </si>
  <si>
    <t>Clinical Event Code</t>
  </si>
  <si>
    <t>Event Letter Code</t>
  </si>
  <si>
    <t>Event Name</t>
  </si>
  <si>
    <t>Required?</t>
  </si>
  <si>
    <t>BuildCode</t>
  </si>
  <si>
    <t>MatchString</t>
  </si>
  <si>
    <t>e</t>
  </si>
  <si>
    <t>Primary Pain Location</t>
  </si>
  <si>
    <t>YES</t>
  </si>
  <si>
    <t>ACCEPT</t>
  </si>
  <si>
    <t>f</t>
  </si>
  <si>
    <t>Primary Pain Laterality</t>
  </si>
  <si>
    <t>g</t>
  </si>
  <si>
    <t>Primary Pain Time Pattern</t>
  </si>
  <si>
    <t>NO</t>
  </si>
  <si>
    <t>i</t>
  </si>
  <si>
    <t>Primary Pain Quality</t>
  </si>
  <si>
    <t>j</t>
  </si>
  <si>
    <t>Pain Interventions, Pharmacological</t>
  </si>
  <si>
    <t>k</t>
  </si>
  <si>
    <t>Pain Interventions, Non-Pharmacological</t>
  </si>
  <si>
    <t>l</t>
  </si>
  <si>
    <t>Pain Negatively Impacts</t>
  </si>
  <si>
    <t>w</t>
  </si>
  <si>
    <t>FLACC Revised, Score</t>
  </si>
  <si>
    <t>x</t>
  </si>
  <si>
    <t>Wong Baker Faces Pain Scale</t>
  </si>
  <si>
    <t>y</t>
  </si>
  <si>
    <t>Verbal Analog Pain Score [0-10]</t>
  </si>
  <si>
    <t>PPPPPP, Noah R</t>
  </si>
  <si>
    <t xml:space="preserve">[PRF]
No follow-up pain assessment observed after Oral oxycoDONE charted @ 06/20/23 12:59:00
Patient discharged @ 06/20/23 14:12:00
 ||Herrera RN, Tenaha||
</t>
  </si>
  <si>
    <t/>
  </si>
  <si>
    <t>NNNNNN, Sophia</t>
  </si>
  <si>
    <t xml:space="preserve">[IRF]
The follow-up pain assessment charted after Epidural Infusion Spine, Lumbar rate/status change charted @ 06/15/23 13:10:00 was 48 minutes late.
The FLACC Revised, Score was due within 75min (60-policy + 15-grace period) but was not charted until 06/15/23 15:13:00 ||Gering RN, Esther||
</t>
  </si>
  <si>
    <t xml:space="preserve">151 minutes elapsed between pain scores while patient has active Epidural Infusion Spine, Lumbar within first 24 hours.
First infusion record charted @ 06/15/23 11:26:00
Previous score charted @ 06/15/23 12:42:00
Flagged score charted @ 06/15/23 15:13:00)
[IRF]
 ||Gering RN, Esther||
</t>
  </si>
  <si>
    <t xml:space="preserve">181 minutes elapsed between pain scores while patient has active Epidural Infusion Spine, Lumbar within first 24 hours.
First infusion record charted @ 06/15/23 11:26:00
Previous score charted @ 06/15/23 20:37:00
Flagged score charted @ 06/15/23 23:38:00)
[IRF]
 ||Lindenfeld RN, Dorothy||
</t>
  </si>
  <si>
    <t xml:space="preserve">228 minutes elapsed between pain scores while patient has active Epidural Infusion Spine, Lumbar within first 24 hours.
First infusion record charted @ 06/15/23 11:26:00
Previous score charted @ 06/15/23 23:38:00
Flagged score charted @ 06/16/23 03:26:00)
[IRF]
 ||Rouse BSN, RN, Gabrielle||
</t>
  </si>
  <si>
    <t xml:space="preserve">137 minutes elapsed between pain scores while patient has active Epidural Infusion Spine, Lumbar within first 24 hours.
First infusion record charted @ 06/15/23 11:26:00
Previous score charted @ 06/16/23 04:54:00
Flagged score charted @ 06/16/23 07:11:00)
[IRF]
 ||Sims RN, Brenda D.||
</t>
  </si>
  <si>
    <t xml:space="preserve">139 minutes elapsed between pain scores while patient has active Epidural Infusion Spine, Lumbar within first 24 hours.
First infusion record charted @ 06/15/23 11:26:00
Previous score charted @ 06/16/23 07:11:00
Flagged score charted @ 06/16/23 09:30:00)
[IRF]
 ||Sims RN, Brenda D.||
</t>
  </si>
  <si>
    <t xml:space="preserve">259 minutes elapsed between pain scores while patient has active Epidural Infusion Spine, Lumbar after the first 24 hours.
First infusion record charted @ 06/15/23 11:26:00
Previous score charted @ 06/16/23 15:16:00
Flagged score charted @ 06/16/23 19:35:00)
[IRF]
 ||Sims RN, Brenda D.||
</t>
  </si>
  <si>
    <t xml:space="preserve">[IRF]
The follow-up pain assessment charted after Epidural Infusion Spine, Lumbar rate/status change charted @ 06/17/23 03:13:00 was 74 minutes late.
The FLACC Revised, Score was due within 75min (60-policy + 15-grace period) but was not charted until 06/17/23 05:42:00 ||Matheny RN, Jennifer||
</t>
  </si>
  <si>
    <t xml:space="preserve">[PRF]
FLACC Revised, Score charted @ 06/17/23 02:48:00 was not charted within 45 min (30-policy + 15-grace period) BEFORE the Oral oxycoDONE charted @ 06/17/23 05:16:00 ||Matheny RN, Jennifer||
</t>
  </si>
  <si>
    <t>The FLACC Revised, Score charted at 06/17/23 02:48:00 = 6
The FLACC Revised, Score charted at 06/17/23 05:42:00 = 9
The Oral oxycoDONE given at 06/17/23 05:16:00 was ineffective.
[Narc]</t>
  </si>
  <si>
    <t xml:space="preserve">[PRF]
Verbal Analog Pain Score [0-10] charted @ 06/17/23 11:41:00 was not charted within 45 min (30-policy + 15-grace period) BEFORE the Oral oxycoDONE charted @ 06/17/23 14:29:00 ||Sims RN, Brenda D.||
</t>
  </si>
  <si>
    <t xml:space="preserve">[PRF]
Verbal Analog Pain Score [0-10] charted @ 06/17/23 15:09:00 was not charted within 45 min (30-policy + 15-grace period) BEFORE the Oral oxycoDONE charted @ 06/17/23 18:22:00 ||Sims RN, Brenda D.||
</t>
  </si>
  <si>
    <t>The Verbal Analog Pain Score [0-10] charted at 06/17/23 15:09:00 = 6
The Wong Baker Faces Pain Scale charted at 06/17/23 18:45:00 = 9
The Oral oxycoDONE given at 06/17/23 18:22:00 was ineffective.
[Narc]</t>
  </si>
  <si>
    <t xml:space="preserve">[PRF]
Wong Baker Faces Pain Scale charted @ 06/17/23 18:45:00 was not charted within 45 min (30-policy + 15-grace period) BEFORE the Oral oxycoDONE charted @ 06/17/23 22:48:00 ||Sims RN, Brenda D.||
[PRF]
The follow-up pain assessment charted after Oral oxycoDONE charted @ 06/17/23 22:48:00 was 135 minutes late.
The FLACC Revised, Score was due within 75min (60-policy + 15-grace period) but was not charted until 06/18/23 02:18:00 ||Sims RN, Brenda D.||
</t>
  </si>
  <si>
    <t>The FLACC Revised, Score charted at 06/18/23 02:18:00 = 3
The FLACC Revised, Score charted at 06/18/23 02:59:00 = 5
The Oral oxycoDONE given at 06/18/23 02:31:00 was ineffective.
[Narc]</t>
  </si>
  <si>
    <t xml:space="preserve">[PRF]
FLACC Revised, Score charted @ 06/18/23 02:59:00 was not charted within 45 min (30-policy + 15-grace period) BEFORE the Oral oxycoDONE charted @ 06/18/23 06:47:00 ||Rouse BSN, RN, Gabrielle||
</t>
  </si>
  <si>
    <t>LLLLLL, Joseph C</t>
  </si>
  <si>
    <t xml:space="preserve">[PRF]
The follow-up pain assessment charted after Oral oxycoDONE charted @ 04/01/23 07:51:00 was 106 minutes late.
The Verbal Analog Pain Score [0-10] was due within 75min (60-policy + 15-grace period) but was not charted until 04/01/23 10:52:00 ||Matheny RN, Jennifer||
</t>
  </si>
  <si>
    <t>The Verbal Analog Pain Score [0-10] charted at 04/01/23 07:30:00 = 3
The Verbal Analog Pain Score [0-10] charted at 04/01/23 10:52:00 = 5
The Oral oxycoDONE given at 04/01/23 07:51:00 was ineffective.
[Narc]</t>
  </si>
  <si>
    <t xml:space="preserve">[PRF]
Verbal Analog Pain Score [0-10] charted @ 04/01/23 23:00:00 was not charted within 45 min (30-policy + 15-grace period) BEFORE the Oral oxycoDONE charted @ 04/02/23 06:07:00 ||Linton RN, Chloe B||
</t>
  </si>
  <si>
    <t>The Verbal Analog Pain Score [0-10] charted at 04/01/23 23:00:00 = 5
The Verbal Analog Pain Score [0-10] charted at 04/02/23 06:26:00 = 5
The Oral oxycoDONE given at 04/02/23 06:07:00 was ineffective.
[Narc]</t>
  </si>
  <si>
    <t xml:space="preserve">[PRF]
Verbal Analog Pain Score [0-10] charted @ 04/02/23 10:53:00 was not charted within 45 min (30-policy + 15-grace period) BEFORE the Oral oxycoDONE charted @ 04/02/23 14:06:00 ||Sims RN, Brenda D.||
</t>
  </si>
  <si>
    <t xml:space="preserve">814 minutes elapsed between pain scores, exceeding the 12-hr per-shift limit 
Previous score charted @ 04/04/23 18:06:00
Flagged score charted @ 04/05/23 07:40:00)
 ||Kuhn RN, Melissa||
</t>
  </si>
  <si>
    <t xml:space="preserve">[PRF]
FLACC Revised, Score charted @ 04/06/23 07:49:00 was not charted within 45 min (30-policy + 15-grace period) BEFORE the Oral ibuprofen charted @ 04/06/23 08:40:00 ||Brevik RN, Sierra||
</t>
  </si>
  <si>
    <t xml:space="preserve">[PRF]
FLACC Revised, Score charted @ 04/06/23 11:46:00 was not charted within 45 min (30-policy + 15-grace period) BEFORE the Oral ibuprofen charted @ 04/06/23 16:52:00 ||Brevik RN, Sierra||
</t>
  </si>
  <si>
    <t xml:space="preserve">[PRF]
Verbal Analog Pain Score [0-10] charted @ 04/11/23 08:14:00 was not charted within 45 min (30-policy + 15-grace period) BEFORE the Oral acetaminophen charted @ 04/11/23 09:34:00 ||Herrera RN, Tenaha||
[PRF]
The follow-up pain assessment charted after Oral acetaminophen charted @ 04/11/23 09:34:00 was 2 minutes late.
The Verbal Analog Pain Score [0-10] was due within 75min (60-policy + 15-grace period) but was not charted until 04/11/23 10:51:00 ||Herrera RN, Tenaha||
</t>
  </si>
  <si>
    <t>The Verbal Analog Pain Score [0-10] charted at 04/11/23 08:14:00 = 3
The Verbal Analog Pain Score [0-10] charted at 04/11/23 10:51:00 = 3
The Oral acetaminophen given at 04/11/23 09:34:00 was ineffective.
[Non-Narc]</t>
  </si>
  <si>
    <t xml:space="preserve">[PRF]
Verbal Analog Pain Score [0-10] charted @ 04/12/23 15:25:00 was not charted within 45 min (30-policy + 15-grace period) BEFORE the Oral acetaminophen charted @ 04/12/23 18:53:00 ||Sims RN, Brenda D.||
</t>
  </si>
  <si>
    <t xml:space="preserve">818 minutes elapsed between pain scores, exceeding the 12-hr per-shift limit 
Previous score charted @ 04/15/23 07:22:00
Flagged score charted @ 04/15/23 21:00:00)
 ||Race RN, Brenda||
</t>
  </si>
  <si>
    <t xml:space="preserve">1485 minutes elapsed between pain scores, exceeding the 12-hr per-shift limit 
Previous score charted @ 04/16/23 19:30:00
Flagged score charted @ 04/17/23 20:15:00)
 ||Adams RN, Kanani E||
</t>
  </si>
  <si>
    <t xml:space="preserve">[PRF]
Verbal Analog Pain Score [0-10] charted @ 04/17/23 20:15:00 was not charted within 45 min (30-policy + 15-grace period) BEFORE the Oral oxycoDONE charted @ 04/17/23 22:14:00 ||Adams RN, Kanani E||
[PRF]
The follow-up pain assessment charted after Oral oxycoDONE charted @ 04/17/23 22:14:00 was 43 minutes late.
The Verbal Analog Pain Score [0-10] was due within 75min (60-policy + 15-grace period) but was not charted until 04/18/23 00:12:00 ||Adams RN, Kanani E||
</t>
  </si>
  <si>
    <t xml:space="preserve">[PRF]
Verbal Analog Pain Score [0-10] charted @ 04/18/23 00:12:00 was not charted within 45 min (30-policy + 15-grace period) BEFORE the Oral oxycoDONE charted @ 04/18/23 07:56:00 ||Matheny RN, Jennifer||
[PRF]
The follow-up pain assessment charted after Oral oxycoDONE charted @ 04/18/23 07:56:00 was 529 minutes late.
The FLACC Revised, Score was due within 75min (60-policy + 15-grace period) but was not charted until 04/18/23 18:00:00 ||Matheny RN, Jennifer||
</t>
  </si>
  <si>
    <t xml:space="preserve">[PRF]
Verbal Analog Pain Score [0-10] charted @ 04/18/23 00:12:00 was not charted within 45 min (30-policy + 15-grace period) BEFORE the Oral oxycoDONE charted @ 04/18/23 15:24:00 ||Matheny RN, Jennifer||
[PRF]
The follow-up pain assessment charted after Oral oxycoDONE charted @ 04/18/23 15:24:00 was 81 minutes late.
The FLACC Revised, Score was due within 75min (60-policy + 15-grace period) but was not charted until 04/18/23 18:00:00 ||Matheny RN, Jennifer||
</t>
  </si>
  <si>
    <t xml:space="preserve">1068 minutes elapsed between pain scores, exceeding the 12-hr per-shift limit 
Previous score charted @ 04/18/23 00:12:00
Flagged score charted @ 04/18/23 18:00:00)
 ||May RN, Caroline||
</t>
  </si>
  <si>
    <t xml:space="preserve">[PRF]
Verbal Analog Pain Score [0-10] charted @ 04/19/23 06:50:00 was not charted within 45 min (30-policy + 15-grace period) BEFORE the Oral acetaminophen charted @ 04/19/23 12:51:00 ||Brevik RN, Sierra||
</t>
  </si>
  <si>
    <t>The Verbal Analog Pain Score [0-10] charted at 04/19/23 06:50:00 = 4
The Verbal Analog Pain Score [0-10] charted at 04/19/23 13:08:00 = 4
The Oral acetaminophen given at 04/19/23 12:51:00 was ineffective.
[Non-Narc]</t>
  </si>
  <si>
    <t xml:space="preserve">[PRF]
FLACC Revised, Score charted @ 04/19/23 13:43:00 was not charted within 45 min (30-policy + 15-grace period) BEFORE the IV ketorolac charted @ 04/19/23 15:24:00 ||Brevik RN, Sierra||
[PRF]
The follow-up pain assessment charted after IV ketorolac charted @ 04/19/23 15:24:00 was 129 minutes late.
The FLACC Revised, Score was due within 45min (30-policy + 15-grace period) but was not charted until 04/19/23 18:18:00 ||Brevik RN, Sierra||
</t>
  </si>
  <si>
    <t xml:space="preserve">[PRF]
The follow-up pain assessment charted after IV ketorolac charted @ 04/19/23 21:30:00 was 536 minutes late.
The FLACC Revised, Score was due within 45min (30-policy + 15-grace period) but was not charted until 04/20/23 07:11:00 ||Sims RN, Brenda D.||
</t>
  </si>
  <si>
    <t xml:space="preserve">[PRF]
FLACC Revised, Score charted @ 04/20/23 07:11:00 was not charted within 45 min (30-policy + 15-grace period) BEFORE the IV ketorolac charted @ 04/20/23 08:00:00 ||Brevik RN, Sierra||
[PRF]
The follow-up pain assessment charted after IV ketorolac charted @ 04/20/23 08:00:00 was 26 minutes late.
The FLACC Revised, Score was due within 45min (30-policy + 15-grace period) but was not charted until 04/20/23 09:11:00 ||Brevik RN, Sierra||
</t>
  </si>
  <si>
    <t xml:space="preserve">[PRF]
The follow-up pain assessment charted after Oral oxycoDONE charted @ 04/20/23 10:34:00 was 163 minutes late.
The FLACC Revised, Score was due within 75min (60-policy + 15-grace period) but was not charted until 04/20/23 14:32:00 ||Brevik RN, Sierra||
</t>
  </si>
  <si>
    <t>The Verbal Analog Pain Score [0-10] charted at 04/20/23 10:31:00 = 4
The FLACC Revised, Score charted at 04/20/23 14:32:00 = 7
The Oral oxycoDONE given at 04/20/23 10:34:00 was ineffective.
[Narc]</t>
  </si>
  <si>
    <t xml:space="preserve">[PRF]
The follow-up pain assessment charted after IV ketorolac charted @ 04/20/23 14:32:00 was 299 minutes late.
The Verbal Analog Pain Score [0-10] was due within 45min (30-policy + 15-grace period) but was not charted until 04/20/23 20:16:00 ||Brevik RN, Sierra||
</t>
  </si>
  <si>
    <t xml:space="preserve">[PRF]
The follow-up pain assessment charted after IV ketorolac charted @ 04/21/23 02:40:00 was 248 minutes late.
The Verbal Analog Pain Score [0-10] was due within 45min (30-policy + 15-grace period) but was not charted until 04/21/23 07:33:00 ||DesJardin RN, Bonnie||
</t>
  </si>
  <si>
    <t xml:space="preserve">[PRF]
Verbal Analog Pain Score [0-10] charted @ 04/21/23 07:33:00 was not charted within 45 min (30-policy + 15-grace period) BEFORE the Oral oxycoDONE charted @ 04/21/23 08:32:00 ||Rice RN BSN, Jennifer D||
</t>
  </si>
  <si>
    <t xml:space="preserve">[PRF]
Verbal Analog Pain Score [0-10] charted @ 04/21/23 15:49:00 was not charted within 45 min (30-policy + 15-grace period) BEFORE the Oral oxycoDONE charted @ 04/21/23 21:59:00 ||Rice RN BSN, Jennifer D||
</t>
  </si>
  <si>
    <t>The Verbal Analog Pain Score [0-10] charted at 04/21/23 15:49:00 = 3
The Verbal Analog Pain Score [0-10] charted at 04/21/23 22:16:00 = 4
The Oral oxycoDONE given at 04/21/23 21:59:00 was ineffective.
[Narc]</t>
  </si>
  <si>
    <t>The Verbal Analog Pain Score [0-10] charted at 04/22/23 00:08:00 = 3
The Verbal Analog Pain Score [0-10] charted at 04/22/23 00:35:00 = 6
The IV ketorolac given at 04/22/23 00:16:00 was ineffective.
[Non-Narc]</t>
  </si>
  <si>
    <t xml:space="preserve">[PRF]
Verbal Analog Pain Score [0-10] charted @ 04/22/23 06:51:00 was not charted within 45 min (30-policy + 15-grace period) BEFORE the IV ketorolac charted @ 04/22/23 16:05:00 ||Sims RN, Brenda D.||
</t>
  </si>
  <si>
    <t>The Verbal Analog Pain Score [0-10] charted at 04/22/23 06:51:00 = 4
The Verbal Analog Pain Score [0-10] charted at 04/22/23 16:46:00 = 5
The IV ketorolac given at 04/22/23 16:05:00 was ineffective.
[Non-Narc]</t>
  </si>
  <si>
    <t xml:space="preserve">[PRF]
FLACC Revised, Score charted @ 04/23/23 01:48:00 was not charted within 45 min (30-policy + 15-grace period) BEFORE the IV ketorolac charted @ 04/23/23 09:23:00 ||Brevik RN, Sierra||
</t>
  </si>
  <si>
    <t>The FLACC Revised, Score charted at 04/23/23 01:48:00 = 3
The Verbal Analog Pain Score [0-10] charted at 04/23/23 09:27:00 = 8
The IV ketorolac given at 04/23/23 09:23:00 was ineffective.
[Non-Narc]</t>
  </si>
  <si>
    <t xml:space="preserve">[PRF]
FLACC Revised, Score charted @ 04/23/23 17:16:00 was not charted within 45 min (30-policy + 15-grace period) BEFORE the IV ketorolac charted @ 04/23/23 18:38:00 ||Adams RN, Kanani E||
</t>
  </si>
  <si>
    <t>The FLACC Revised, Score charted at 04/23/23 17:16:00 = 9
The Verbal Analog Pain Score [0-10] charted at 04/23/23 19:11:00 = 10
The IV ketorolac given at 04/23/23 18:38:00 was ineffective.
[Non-Narc]</t>
  </si>
  <si>
    <t xml:space="preserve">[PRF]
Verbal Analog Pain Score [0-10] charted @ 04/23/23 19:11:00 was not charted within 45 min (30-policy + 15-grace period) BEFORE the IV ketorolac charted @ 04/24/23 00:45:00 ||Adams RN, Kanani E||
[PRF]
The follow-up pain assessment charted after IV ketorolac charted @ 04/24/23 00:45:00 was 39 minutes late.
The FLACC Revised, Score was due within 45min (30-policy + 15-grace period) but was not charted until 04/24/23 02:09:00 ||Adams RN, Kanani E||
</t>
  </si>
  <si>
    <t xml:space="preserve">999 minutes elapsed between pain scores, exceeding the 12-hr per-shift limit 
Previous score charted @ 04/25/23 03:25:00
Flagged score charted @ 04/25/23 20:04:00)
 ||May RN, Caroline||
</t>
  </si>
  <si>
    <t xml:space="preserve">772 minutes elapsed between pain scores, exceeding the 12-hr per-shift limit 
Previous score charted @ 04/26/23 09:58:00
Flagged score charted @ 04/26/23 22:50:00)
 ||Linton RN, Chloe B||
</t>
  </si>
  <si>
    <t xml:space="preserve">[PRF]
The follow-up pain assessment charted after IV ketorolac charted @ 04/27/23 01:47:00 was 322 minutes late.
The Verbal Analog Pain Score [0-10] was due within 45min (30-policy + 15-grace period) but was not charted until 04/27/23 07:54:00 ||Linton RN, Chloe B||
</t>
  </si>
  <si>
    <t xml:space="preserve">[PRF]
Verbal Analog Pain Score [0-10] charted @ 04/27/23 07:54:00 was not charted within 45 min (30-policy + 15-grace period) BEFORE the Oral oxycoDONE charted @ 04/27/23 23:05:00 ||Linton RN, Chloe B||
</t>
  </si>
  <si>
    <t xml:space="preserve">924 minutes elapsed between pain scores, exceeding the 12-hr per-shift limit 
Previous score charted @ 04/27/23 07:54:00
Flagged score charted @ 04/27/23 23:18:00)
 ||Linton RN, Chloe B||
</t>
  </si>
  <si>
    <t xml:space="preserve">1005 minutes elapsed between pain scores, exceeding the 12-hr per-shift limit 
Previous score charted @ 04/28/23 06:51:00
Flagged score charted @ 04/28/23 23:36:00)
 ||Willer RN, Ella||
</t>
  </si>
  <si>
    <t xml:space="preserve">933 minutes elapsed between pain scores, exceeding the 12-hr per-shift limit 
Previous score charted @ 04/29/23 07:15:00
Flagged score charted @ 04/29/23 22:48:00)
 ||Willer RN, Ella||
</t>
  </si>
  <si>
    <t xml:space="preserve">811 minutes elapsed between pain scores, exceeding the 12-hr per-shift limit 
Previous score charted @ 05/01/23 18:50:00
Flagged score charted @ 05/02/23 08:21:00)
 ||Rouse BSN, RN, Gabrielle||
</t>
  </si>
  <si>
    <t xml:space="preserve">877 minutes elapsed between pain scores, exceeding the 12-hr per-shift limit 
Previous score charted @ 05/02/23 08:21:00
Flagged score charted @ 05/02/23 22:58:00)
 ||May RN, Caroline||
</t>
  </si>
  <si>
    <t xml:space="preserve">[PRF]
Verbal Analog Pain Score [0-10] charted @ 05/03/23 06:44:00 was not charted within 45 min (30-policy + 15-grace period) BEFORE the Oral ibuprofen charted @ 05/03/23 15:45:00 ||Matheny RN, Jennifer||
[PRF]
The follow-up pain assessment charted after Oral ibuprofen charted @ 05/03/23 15:45:00 was 47 minutes late.
The FLACC Revised, Score was due within 75min (60-policy + 15-grace period) but was not charted until 05/03/23 17:47:00 ||Matheny RN, Jennifer||
</t>
  </si>
  <si>
    <t>The Verbal Analog Pain Score [0-10] charted at 05/03/23 06:44:00 = 2
The FLACC Revised, Score charted at 05/03/23 17:47:00 = 5
The Oral ibuprofen given at 05/03/23 15:45:00 was ineffective.
[Non-Narc]</t>
  </si>
  <si>
    <t xml:space="preserve">[PRF]
FLACC Revised, Score charted @ 05/03/23 17:47:00 was not charted within 45 min (30-policy + 15-grace period) BEFORE the Oral oxycoDONE charted @ 05/03/23 21:56:00 ||Linton RN, Chloe B||
</t>
  </si>
  <si>
    <t xml:space="preserve">[PRF]
Verbal Analog Pain Score [0-10] charted @ 05/03/23 22:22:00 was not charted within 45 min (30-policy + 15-grace period) BEFORE the Oral ibuprofen charted @ 05/03/23 23:19:00 ||Linton RN, Chloe B||
[PRF]
The follow-up pain assessment charted after Oral ibuprofen charted @ 05/03/23 23:19:00 was 5 minutes late.
The Verbal Analog Pain Score [0-10] was due within 75min (60-policy + 15-grace period) but was not charted until 05/04/23 00:39:00 ||Linton RN, Chloe B||
</t>
  </si>
  <si>
    <t>The Verbal Analog Pain Score [0-10] charted at 05/03/23 22:22:00 = 2
The Verbal Analog Pain Score [0-10] charted at 05/04/23 00:39:00 = 10
The Oral ibuprofen given at 05/03/23 23:19:00 was ineffective.
[Non-Narc]</t>
  </si>
  <si>
    <t xml:space="preserve">[PRF]
Verbal Analog Pain Score [0-10] charted @ 05/04/23 00:39:00 was not charted within 45 min (30-policy + 15-grace period) BEFORE the Oral ibuprofen charted @ 05/04/23 09:12:00 ||Matheny RN, Jennifer||
</t>
  </si>
  <si>
    <t>VVVVVV, Gabriel J</t>
  </si>
  <si>
    <t xml:space="preserve">[PRF]
No follow-up pain assessment observed after Oral oxycoDONE charted @ 05/17/23 14:38:00
Patient discharged @ 05/17/23 14:45:00
 ||Gering RN, Esther||
</t>
  </si>
  <si>
    <t xml:space="preserve">[PRF]
FLACC Revised, Score charted @ 05/17/23 13:19:00 was not charted within 45 min (30-policy + 15-grace period) BEFORE the Oral oxycoDONE charted @ 05/17/23 14:38:00 ||Gering RN, Esther||
</t>
  </si>
  <si>
    <t>UUUUUU, Nolan P</t>
  </si>
  <si>
    <t>The Verbal Analog Pain Score [0-10] charted at 04/20/23 14:36:00 = 6
The Verbal Analog Pain Score [0-10] charted at 04/20/23 15:23:00 = 9
The Oral oxycoDONE given at 04/20/23 15:00:00 was ineffective.
[Narc]</t>
  </si>
  <si>
    <t>DDDDDD, Jordan A</t>
  </si>
  <si>
    <t xml:space="preserve">[PRF]
Verbal Analog Pain Score [0-10] charted @ 06/26/23 15:13:00 was not charted within 45 min (30-policy + 15-grace period) BEFORE the Oral oxycoDONE charted @ 06/26/23 16:43:00 ||Hagerott RN, Jannell||
</t>
  </si>
  <si>
    <t xml:space="preserve">996 minutes elapsed between pain scores, exceeding the 12-hr per-shift limit 
Previous score charted @ 06/26/23 16:52:00
Flagged score charted @ 06/27/23 09:28:00)
 ||Gering RN, Esther||
</t>
  </si>
  <si>
    <t>OOOOOO, Kahleigh S</t>
  </si>
  <si>
    <t xml:space="preserve">177 minutes elapsed between pain scores while patient has active Epidural Infusion Spine, Lumbar within first 24 hours.
First infusion record charted @ 04/11/23 11:29:00
Previous score charted @ 04/11/23 14:42:00
Flagged score charted @ 04/11/23 17:39:00)
[IRF]
 ||Brevik RN, Sierra||
</t>
  </si>
  <si>
    <t xml:space="preserve">[IRF]
The follow-up pain assessment charted after Epidural Infusion Spine, Lumbar rate/status change charted @ 04/12/23 02:51:00 was 60 minutes late.
The FLACC Revised, Score was due within 75min (60-policy + 15-grace period) but was not charted until 04/12/23 05:06:00 ||Linton RN, Chloe B||
</t>
  </si>
  <si>
    <t xml:space="preserve">149 minutes elapsed between pain scores while patient has active Epidural Infusion Spine, Lumbar within first 24 hours.
First infusion record charted @ 04/11/23 11:29:00
Previous score charted @ 04/12/23 02:37:00
Flagged score charted @ 04/12/23 05:06:00)
[IRF]
 ||May RN, Caroline||
</t>
  </si>
  <si>
    <t xml:space="preserve">138 minutes elapsed between pain scores while patient has active Epidural Infusion Spine, Lumbar within first 24 hours.
First infusion record charted @ 04/11/23 11:29:00
Previous score charted @ 04/12/23 05:06:00
Flagged score charted @ 04/12/23 07:24:00)
[IRF]
 ||Rice RN BSN, Jennifer D||
</t>
  </si>
  <si>
    <t xml:space="preserve">[IRF]
Verbal Analog Pain Score [0-10] charted @ 04/12/23 11:02:00 was not charted within 45 min (30-policy + 15-grace period) BEFORE the Epidural Infusion Spine, Lumbar rate-change to (8 mL/hr) charted @ 04/12/23 12:48:00 ||Brevik RN, Sierra||
</t>
  </si>
  <si>
    <t xml:space="preserve">[PRF]
FLACC Revised, Score charted @ 04/13/23 04:43:00 was not charted within 45 min (30-policy + 15-grace period) BEFORE the Oral oxycoDONE charted @ 04/13/23 09:28:00 ||Matheny RN, Jennifer||
</t>
  </si>
  <si>
    <t xml:space="preserve">[PRF]
FLACC Revised, Score charted @ 04/13/23 10:34:00 was not charted within 45 min (30-policy + 15-grace period) BEFORE the Oral oxycoDONE charted @ 04/13/23 12:49:00 ||Matheny RN, Jennifer||
[PRF]
The follow-up pain assessment charted after Oral oxycoDONE charted @ 04/13/23 12:49:00 was 295 minutes late.
The Verbal Analog Pain Score [0-10] was due within 75min (60-policy + 15-grace period) but was not charted until 04/13/23 18:59:00 ||Matheny RN, Jennifer||
</t>
  </si>
  <si>
    <t>The FLACC Revised, Score charted at 04/13/23 10:34:00 = 4
The Verbal Analog Pain Score [0-10] charted at 04/13/23 18:59:00 = 4
The Oral oxycoDONE given at 04/13/23 12:49:00 was ineffective.
[Narc]</t>
  </si>
  <si>
    <t xml:space="preserve">[PRF]
Verbal Analog Pain Score [0-10] charted @ 04/13/23 18:59:00 was not charted within 45 min (30-policy + 15-grace period) BEFORE the Oral oxycoDONE charted @ 04/14/23 00:11:00 ||Linton RN, Chloe B||
</t>
  </si>
  <si>
    <t xml:space="preserve">[PRF]
Verbal Analog Pain Score [0-10] charted @ 04/14/23 07:01:00 was not charted within 45 min (30-policy + 15-grace period) BEFORE the Oral oxycoDONE charted @ 04/14/23 08:42:00 ||Sims RN, Brenda D.||
</t>
  </si>
  <si>
    <t>The Verbal Analog Pain Score [0-10] charted at 04/14/23 07:01:00 = 8
The Verbal Analog Pain Score [0-10] charted at 04/14/23 09:00:00 = 9
The Oral oxycoDONE given at 04/14/23 08:42:00 was ineffective.
[Narc]</t>
  </si>
  <si>
    <t>QQQQQQ, Elyjah W</t>
  </si>
  <si>
    <t>The FLACC Revised, Score charted at 06/14/23 08:07:00 = 2
The FLACC Revised, Score charted at 06/14/23 09:08:00 = 3
The Oral oxycoDONE given at 06/14/23 08:21:00 was ineffective.
[Narc]</t>
  </si>
  <si>
    <t xml:space="preserve">217 minutes elapsed between pain scores while patient has active Epidural Infusion Spine, Lumbar within first 24 hours.
First infusion record charted @ 06/13/23 13:23:00
Previous score charted @ 06/14/23 09:08:00
Flagged score charted @ 06/14/23 12:45:00)
[IRF]
 ||Matheny RN, Jennifer||
</t>
  </si>
  <si>
    <t xml:space="preserve">[PRF]
The follow-up pain assessment charted after Oral oxycoDONE charted @ 06/14/23 12:53:00 was 6 minutes late.
The FLACC Revised, Score was due within 75min (60-policy + 15-grace period) but was not charted until 06/14/23 14:14:00 ||Matheny RN, Jennifer||
</t>
  </si>
  <si>
    <t>The FLACC Revised, Score charted at 06/14/23 12:45:00 = 4
The FLACC Revised, Score charted at 06/14/23 14:14:00 = 8
The Oral oxycoDONE given at 06/14/23 12:53:00 was ineffective.
[Narc]</t>
  </si>
  <si>
    <t xml:space="preserve">[PRF]
FLACC Revised, Score charted @ 06/14/23 23:50:00 was not charted within 45 min (30-policy + 15-grace period) BEFORE the Oral oxycoDONE charted @ 06/15/23 02:50:00 ||Linton RN, Chloe B||
</t>
  </si>
  <si>
    <t xml:space="preserve">[IRF]
FLACC Revised, Score charted @ 06/14/23 23:50:00 was not charted within 45 min (30-policy + 15-grace period) BEFORE the final Epidural Infusion Spine, Lumbar  record charted @ 06/15/23 03:00:00
Check for accurate d/c time. ||Linton RN, Chloe B||
</t>
  </si>
  <si>
    <t xml:space="preserve">[PRF]
FLACC Revised, Score charted @ 06/15/23 03:55:00 was not charted within 45 min (30-policy + 15-grace period) BEFORE the Oral oxycoDONE charted @ 06/15/23 06:46:00 ||Matheny RN, Jennifer||
</t>
  </si>
  <si>
    <t>The FLACC Revised, Score charted at 06/15/23 03:55:00 = 1
The FLACC Revised, Score charted at 06/15/23 07:07:00 = 1
The Oral oxycoDONE given at 06/15/23 06:46:00 was ineffective.
[Narc]</t>
  </si>
  <si>
    <t xml:space="preserve">[PRF]
FLACC Revised, Score charted @ 06/15/23 11:29:00 was not charted within 45 min (30-policy + 15-grace period) BEFORE the Oral oxycoDONE charted @ 06/15/23 14:16:00 ||Matheny RN, Jennifer||
</t>
  </si>
  <si>
    <t>The FLACC Revised, Score charted at 06/15/23 11:29:00 = 3
The FLACC Revised, Score charted at 06/15/23 14:31:00 = 8
The Oral oxycoDONE given at 06/15/23 14:16:00 was ineffective.
[Narc]</t>
  </si>
  <si>
    <t>The FLACC Revised, Score charted at 06/15/23 17:50:00 = 6
The FLACC Revised, Score charted at 06/15/23 18:35:00 = 10
The Oral oxycoDONE given at 06/15/23 18:13:00 was ineffective.
[Narc]</t>
  </si>
  <si>
    <t xml:space="preserve">[PRF]
FLACC Revised, Score charted @ 06/16/23 04:03:00 was not charted within 45 min (30-policy + 15-grace period) BEFORE the Oral oxycoDONE charted @ 06/16/23 07:24:00 ||Rouse BSN, RN, Gabrielle||
[PRF]
The follow-up pain assessment charted after Oral oxycoDONE charted @ 06/16/23 07:24:00 was 182 minutes late.
The FLACC Revised, Score was due within 75min (60-policy + 15-grace period) but was not charted until 06/16/23 11:41:00 ||Rouse BSN, RN, Gabrielle||
</t>
  </si>
  <si>
    <t>The FLACC Revised, Score charted at 06/16/23 04:03:00 = 4
The FLACC Revised, Score charted at 06/16/23 11:41:00 = 6
The Oral oxycoDONE given at 06/16/23 07:24:00 was ineffective.
[Narc]</t>
  </si>
  <si>
    <t xml:space="preserve">[PRF]
FLACC Revised, Score charted @ 06/16/23 04:03:00 was not charted within 45 min (30-policy + 15-grace period) BEFORE the Oral oxycoDONE charted @ 06/16/23 11:15:00 ||Rouse BSN, RN, Gabrielle||
</t>
  </si>
  <si>
    <t>The FLACC Revised, Score charted at 06/16/23 04:03:00 = 4
The FLACC Revised, Score charted at 06/16/23 11:41:00 = 6
The Oral oxycoDONE given at 06/16/23 11:15:00 was ineffective.
[Narc]</t>
  </si>
  <si>
    <t>The FLACC Revised, Score charted at 06/16/23 14:48:00 = 4
The FLACC Revised, Score charted at 06/16/23 15:30:00 = 6
The Oral oxycoDONE given at 06/16/23 14:48:00 was ineffective.
[Narc]</t>
  </si>
  <si>
    <t>CCCCCC, Conner A</t>
  </si>
  <si>
    <t>The Verbal Analog Pain Score [0-10] charted at 04/05/23 12:54:00 = 1
The Verbal Analog Pain Score [0-10] charted at 04/05/23 13:52:00 = 9
The Oral oxycoDONE given at 04/05/23 13:14:00 was ineffective.
[Narc]</t>
  </si>
  <si>
    <t>IIIIII, Jeremiah X</t>
  </si>
  <si>
    <t>The FLACC Revised, Score charted at 06/16/23 14:18:00 = 2
The Verbal Analog Pain Score [0-10] charted at 06/16/23 14:57:00 = 8
The Oral acetaminophen-hydrocodone given at 06/16/23 14:27:00 was ineffective.
[Narc]</t>
  </si>
  <si>
    <t>WWWWWW, Colin J</t>
  </si>
  <si>
    <t xml:space="preserve">[IRF]
Verbal Analog Pain Score [0-10] charted @ 05/02/23 07:27:00 was not charted within 45 min (30-policy + 15-grace period) BEFORE the final Block Other - See Comment  record charted @ 05/02/23 14:15:00
Check for accurate d/c time. ||Kuhn RN, Melissa||
</t>
  </si>
  <si>
    <t>TTTTTT, Marion R</t>
  </si>
  <si>
    <t xml:space="preserve">[PRF]
The follow-up pain assessment charted after IV morphine charted @ 06/21/23 14:24:00 was 5 minutes late.
The FLACC Revised, Score was due within 45min (30-policy + 15-grace period) but was not charted until 06/21/23 15:14:00 ||Brevik RN, Sierra||
</t>
  </si>
  <si>
    <t xml:space="preserve">[PRF]
FLACC Revised, Score charted @ 06/21/23 13:46:00 was not charted within 45 min (30-policy + 15-grace period) BEFORE the IV morphine charted @ 06/21/23 14:38:00 ||Brevik RN, Sierra||
</t>
  </si>
  <si>
    <t xml:space="preserve">[PRF]
FLACC Revised, Score charted @ 06/21/23 13:46:00 was not charted within 45 min (30-policy + 15-grace period) BEFORE the Oral oxycoDONE charted @ 06/21/23 14:45:00 ||Brevik RN, Sierra||
</t>
  </si>
  <si>
    <t xml:space="preserve">[PRF]
Verbal Analog Pain Score [0-10] charted @ 06/21/23 17:26:00 was not charted within 45 min (30-policy + 15-grace period) BEFORE the Oral oxycoDONE charted @ 06/21/23 18:58:00 ||Linton RN, Chloe B||
</t>
  </si>
  <si>
    <t xml:space="preserve">[PRF]
The follow-up pain assessment charted after Oral oxycoDONE charted @ 06/22/23 03:16:00 was 4 minutes late.
The Verbal Analog Pain Score [0-10] was due within 75min (60-policy + 15-grace period) but was not charted until 06/22/23 04:35:00 ||Linton RN, Chloe B||
</t>
  </si>
  <si>
    <t xml:space="preserve">[IRF]
Verbal Analog Pain Score [0-10] charted @ 06/22/23 04:35:00 was not charted within 45 min (30-policy + 15-grace period) BEFORE the final Block Other - See Comment  record charted @ 06/22/23 07:00:00
Check for accurate d/c time. ||Brevik RN, Sierra||
</t>
  </si>
  <si>
    <t>KKKKKK, Sakyah M</t>
  </si>
  <si>
    <t xml:space="preserve">[PRF]
FLACC Revised, Score charted @ 05/01/23 14:30:00 was not charted within 45 min (30-policy + 15-grace period) BEFORE the Oral oxycoDONE charted @ 05/01/23 15:34:00 ||Rouse BSN, RN, Gabrielle||
</t>
  </si>
  <si>
    <t>BBBBBB, Zane A</t>
  </si>
  <si>
    <t xml:space="preserve">258 minutes elapsed between pain scores while patient has active Epidural Infusion Spine, Lumbar within first 24 hours.
First infusion record charted @ 06/01/23 15:38:00
Previous score charted @ 06/01/23 22:52:00
Flagged score charted @ 06/02/23 03:10:00)
[IRF]
 ||Linton RN, Chloe B||
</t>
  </si>
  <si>
    <t xml:space="preserve">141 minutes elapsed between pain scores while patient has active Epidural Infusion Spine, Lumbar within first 24 hours.
First infusion record charted @ 06/01/23 15:38:00
Previous score charted @ 06/02/23 07:16:00
Flagged score charted @ 06/02/23 09:37:00)
[IRF]
 ||Kolhof RN, BSN, Audrey||
</t>
  </si>
  <si>
    <t xml:space="preserve">141 minutes elapsed between pain scores while patient has active Epidural Infusion Spine, Lumbar within first 24 hours.
First infusion record charted @ 06/01/23 15:38:00
Previous score charted @ 06/02/23 11:04:00
Flagged score charted @ 06/02/23 13:25:00)
[IRF]
 ||Kolhof RN, BSN, Audrey||
</t>
  </si>
  <si>
    <t xml:space="preserve">[IRF]
The follow-up pain assessment charted after Epidural Infusion Spine, Lumbar rate/status change charted @ 06/03/23 03:12:00 was 94 minutes late.
The FLACC Revised, Score was due within 75min (60-policy + 15-grace period) but was not charted until 06/03/23 06:01:00 ||Willer RN, Ella||
</t>
  </si>
  <si>
    <t>The FLACC Revised, Score charted at 06/03/23 09:22:00 = 1
The FLACC Revised, Score charted at 06/03/23 10:13:00 = 5
The Oral oxycoDONE given at 06/03/23 09:36:00 was ineffective.
[Narc]</t>
  </si>
  <si>
    <t xml:space="preserve">[PRF]
Verbal Analog Pain Score [0-10] charted @ 06/03/23 10:20:00 was not charted within 45 min (30-policy + 15-grace period) BEFORE the Oral oxycoDONE charted @ 06/03/23 12:09:00 ||Kolhof RN, BSN, Audrey||
</t>
  </si>
  <si>
    <t>The Verbal Analog Pain Score [0-10] charted at 06/03/23 10:20:00 = 5
The FLACC Revised, Score charted at 06/03/23 12:39:00 = 9
The Oral oxycoDONE given at 06/03/23 12:09:00 was ineffective.
[Narc]</t>
  </si>
  <si>
    <t>The Verbal Analog Pain Score [0-10] charted at 06/03/23 15:08:00 = 1
The Verbal Analog Pain Score [0-10] charted at 06/03/23 16:00:00 = 8
The Oral oxycoDONE given at 06/03/23 15:23:00 was ineffective.
[Narc]</t>
  </si>
  <si>
    <t>The Verbal Analog Pain Score [0-10] charted at 06/03/23 18:59:00 = 5
The Verbal Analog Pain Score [0-10] charted at 06/03/23 19:58:00 = 9
The Oral oxycoDONE given at 06/03/23 19:03:00 was ineffective.
[Narc]</t>
  </si>
  <si>
    <t xml:space="preserve">[PRF]
The follow-up pain assessment charted after Oral oxycoDONE charted @ 06/03/23 22:17:00 was 116 minutes late.
The FLACC Revised, Score was due within 75min (60-policy + 15-grace period) but was not charted until 06/04/23 01:28:00 ||Richardson RN, Gwynne||
</t>
  </si>
  <si>
    <t>The Verbal Analog Pain Score [0-10] charted at 06/03/23 22:15:00 = 8
The FLACC Revised, Score charted at 06/04/23 01:28:00 = 8
The Oral oxycoDONE given at 06/03/23 22:17:00 was ineffective.
[Narc]</t>
  </si>
  <si>
    <t xml:space="preserve">[PRF]
Verbal Analog Pain Score [0-10] charted @ 06/03/23 22:15:00 was not charted within 45 min (30-policy + 15-grace period) BEFORE the Oral oxycoDONE charted @ 06/04/23 01:08:00 ||Richardson RN, Gwynne||
</t>
  </si>
  <si>
    <t>The Verbal Analog Pain Score [0-10] charted at 06/03/23 22:15:00 = 8
The FLACC Revised, Score charted at 06/04/23 01:28:00 = 8
The Oral oxycoDONE given at 06/04/23 01:08:00 was ineffective.
[Narc]</t>
  </si>
  <si>
    <t>The FLACC Revised, Score charted at 06/04/23 07:35:00 = 9
The Verbal Analog Pain Score [0-10] charted at 06/04/23 08:03:00 = 10
The Oral oxycoDONE given at 06/04/23 07:54:00 was ineffective.
[Narc]</t>
  </si>
  <si>
    <t>MMMMMM, Jazmyne K</t>
  </si>
  <si>
    <t xml:space="preserve">218 minutes elapsed between pain scores while patient has active Block Other - See Comment within first 24 hours.
First infusion record charted @ 05/31/23 14:22:00
Previous score charted @ 05/31/23 19:20:00
Flagged score charted @ 05/31/23 22:58:00)
[IRF]
 ||Linton RN, Chloe B||
</t>
  </si>
  <si>
    <t xml:space="preserve">[PRF]
FLACC Revised, Score charted @ 06/01/23 06:51:00 was not charted within 45 min (30-policy + 15-grace period) BEFORE the Oral oxycoDONE charted @ 06/01/23 08:19:00 ||Gering RN, Esther||
</t>
  </si>
  <si>
    <t>The FLACC Revised, Score charted at 06/01/23 06:51:00 = 9
The Verbal Analog Pain Score [0-10] charted at 06/01/23 08:51:00 = 10
The Oral oxycoDONE given at 06/01/23 08:19:00 was ineffective.
[Narc]</t>
  </si>
  <si>
    <t>RRRRRR, Victoria L A</t>
  </si>
  <si>
    <t xml:space="preserve">[PRF]
Verbal Analog Pain Score [0-10] charted @ 05/23/23 18:55:00 was not charted within 45 min (30-policy + 15-grace period) BEFORE the Oral oxycoDONE charted @ 05/23/23 20:02:00 ||Sims RN, Brenda D.||
</t>
  </si>
  <si>
    <t>The Verbal Analog Pain Score [0-10] charted at 05/23/23 18:55:00 = 7
The Verbal Analog Pain Score [0-10] charted at 05/23/23 20:26:00 = 10
The Oral oxycoDONE given at 05/23/23 20:02:00 was ineffective.
[Narc]</t>
  </si>
  <si>
    <t xml:space="preserve">[IRF]
FLACC Revised, Score charted @ 05/24/23 04:46:00 was not charted within 45 min (30-policy + 15-grace period) BEFORE the final Block Right Popliteal Nerve  record charted @ 05/24/23 07:00:00
Check for accurate d/c time. ||Rice RN BSN, Jennifer D||
[IRF]
The follow-up pain assessment charted after Block Right Popliteal Nerve rate/status change charted @ 05/24/23 07:00:00 was 52 minutes late.
The FLACC Revised, Score was due within 75min (60-policy + 15-grace period) but was not charted until 05/24/23 09:07:00 ||Rice RN BSN, Jennifer D||
</t>
  </si>
  <si>
    <t>HHHHHH, Jayden T</t>
  </si>
  <si>
    <t xml:space="preserve">136 minutes elapsed between pain scores while patient has active Epidural Infusion Spine, Thoracic within first 24 hours.
First infusion record charted @ 04/20/23 11:51:00
Previous score charted @ 04/20/23 14:56:00
Flagged score charted @ 04/20/23 17:12:00)
[IRF]
 ||Gering RN, Esther||
</t>
  </si>
  <si>
    <t xml:space="preserve">478 minutes elapsed between pain scores while patient has active Epidural Infusion Spine, Thoracic within first 24 hours.
First infusion record charted @ 04/20/23 11:51:00
Previous score charted @ 04/20/23 17:12:00
Flagged score charted @ 04/21/23 01:10:00)
[IRF]
 ||Linton RN, Chloe B||
</t>
  </si>
  <si>
    <t xml:space="preserve">142 minutes elapsed between pain scores while patient has active Epidural Infusion Spine, Thoracic within first 24 hours.
First infusion record charted @ 04/20/23 11:51:00
Previous score charted @ 04/21/23 02:50:00
Flagged score charted @ 04/21/23 05:12:00)
[IRF]
 ||Linton RN, Chloe B||
</t>
  </si>
  <si>
    <t xml:space="preserve">151 minutes elapsed between pain scores while patient has active Epidural Infusion Spine, Thoracic within first 24 hours.
First infusion record charted @ 04/20/23 11:51:00
Previous score charted @ 04/21/23 08:47:00
Flagged score charted @ 04/21/23 11:18:00)
[IRF]
 ||Rice RN BSN, Jennifer D||
</t>
  </si>
  <si>
    <t xml:space="preserve">284 minutes elapsed between pain scores while patient has active Epidural Infusion Spine, Thoracic after the first 24 hours.
First infusion record charted @ 04/20/23 11:51:00
Previous score charted @ 04/21/23 17:41:00
Flagged score charted @ 04/21/23 22:25:00)
[IRF]
 ||Rice RN BSN, Jennifer D||
</t>
  </si>
  <si>
    <t xml:space="preserve">[IRF]
FLACC Revised, Score charted @ 04/22/23 01:00:00 was not charted within 45 min (30-policy + 15-grace period) BEFORE the final Epidural Infusion Spine, Lumbar  record charted @ 04/22/23 03:00:00
Check for accurate d/c time. ||Linton RN, Chloe B||
</t>
  </si>
  <si>
    <t xml:space="preserve">[PRF]
Verbal Analog Pain Score [0-10] charted @ 04/22/23 03:30:00 was not charted within 45 min (30-policy + 15-grace period) BEFORE the Oral oxycoDONE charted @ 04/22/23 04:39:00 ||Linton RN, Chloe B||
</t>
  </si>
  <si>
    <t xml:space="preserve">[PRF]
Verbal Analog Pain Score [0-10] charted @ 04/22/23 07:44:00 was not charted within 45 min (30-policy + 15-grace period) BEFORE the Oral oxycoDONE charted @ 04/22/23 09:12:00 ||Sims RN, Brenda D.||
</t>
  </si>
  <si>
    <t xml:space="preserve">[PRF]
The follow-up pain assessment charted after Oral oxycoDONE charted @ 04/22/23 12:43:00 was 44 minutes late.
The Verbal Analog Pain Score [0-10] was due within 75min (60-policy + 15-grace period) but was not charted until 04/22/23 14:42:00 ||Sims RN, Brenda D.||
</t>
  </si>
  <si>
    <t>8ikY7VHS2xWE</t>
  </si>
  <si>
    <t>04_23_REVIEW.xlsm</t>
  </si>
  <si>
    <t>IP_REVTEMP_SEND</t>
  </si>
  <si>
    <t>RN can add review comments here..._x000D_
(kryan 12/7/2025 6:45:38 AM)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</si>
</sst>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b/>
      <sz val="8"/>
      <color rgb="FF00206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4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333333"/>
      <name val="Arial"/>
      <family val="2"/>
    </font>
    <font>
      <b/>
      <sz val="11"/>
      <color rgb="FF333333"/>
      <name val="Arial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249977111117893"/>
        <bgColor theme="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</cellStyleXfs>
  <cellXfs count="11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vertical="top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wrapText="1"/>
    </xf>
    <xf numFmtId="0" fontId="8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5" fillId="4" borderId="5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0" fillId="2" borderId="0" xfId="0" applyFill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indent="1"/>
    </xf>
    <xf numFmtId="0" fontId="6" fillId="0" borderId="0" xfId="0" applyFont="1"/>
    <xf numFmtId="0" fontId="0" fillId="0" borderId="0" xfId="0" applyAlignment="1">
      <alignment horizontal="center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0" xfId="0" applyBorder="1"/>
    <xf numFmtId="0" fontId="0" fillId="0" borderId="11" xfId="0" applyBorder="1" applyAlignment="1">
      <alignment horizontal="right"/>
    </xf>
    <xf numFmtId="0" fontId="0" fillId="0" borderId="12" xfId="0" applyBorder="1"/>
    <xf numFmtId="0" fontId="11" fillId="2" borderId="0" xfId="0" applyFont="1" applyFill="1" applyAlignment="1">
      <alignment horizontal="center" vertical="top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top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top"/>
    </xf>
    <xf numFmtId="10" fontId="0" fillId="0" borderId="0" xfId="1" applyNumberFormat="1" applyFont="1" applyAlignment="1" applyProtection="1">
      <alignment vertical="top"/>
    </xf>
    <xf numFmtId="9" fontId="0" fillId="0" borderId="0" xfId="1" applyFont="1" applyAlignment="1" applyProtection="1">
      <alignment vertical="top"/>
    </xf>
    <xf numFmtId="0" fontId="16" fillId="7" borderId="0" xfId="2" applyFont="1" applyFill="1"/>
    <xf numFmtId="0" fontId="17" fillId="7" borderId="13" xfId="2" applyFont="1" applyFill="1" applyBorder="1" applyAlignment="1">
      <alignment horizontal="center" vertical="center"/>
    </xf>
    <xf numFmtId="0" fontId="15" fillId="0" borderId="0" xfId="2"/>
    <xf numFmtId="0" fontId="15" fillId="0" borderId="7" xfId="2" applyBorder="1" applyAlignment="1">
      <alignment horizontal="center" vertical="center"/>
    </xf>
    <xf numFmtId="0" fontId="15" fillId="0" borderId="14" xfId="2" applyBorder="1" applyAlignment="1">
      <alignment horizontal="center" vertical="center"/>
    </xf>
    <xf numFmtId="0" fontId="15" fillId="0" borderId="8" xfId="2" applyBorder="1" applyAlignment="1">
      <alignment horizontal="center" vertical="center"/>
    </xf>
    <xf numFmtId="0" fontId="15" fillId="0" borderId="9" xfId="2" applyBorder="1" applyAlignment="1">
      <alignment horizontal="center" vertical="center"/>
    </xf>
    <xf numFmtId="0" fontId="15" fillId="0" borderId="13" xfId="2" applyBorder="1" applyAlignment="1">
      <alignment horizontal="center" vertical="center"/>
    </xf>
    <xf numFmtId="0" fontId="15" fillId="0" borderId="10" xfId="2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0" borderId="15" xfId="2" applyFont="1" applyBorder="1" applyAlignment="1">
      <alignment horizontal="center" vertical="center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center" wrapText="1"/>
    </xf>
    <xf numFmtId="22" fontId="15" fillId="0" borderId="11" xfId="2" applyNumberFormat="1" applyBorder="1"/>
    <xf numFmtId="0" fontId="15" fillId="0" borderId="16" xfId="2" applyBorder="1"/>
    <xf numFmtId="22" fontId="15" fillId="0" borderId="16" xfId="2" applyNumberFormat="1" applyBorder="1"/>
    <xf numFmtId="0" fontId="15" fillId="0" borderId="12" xfId="2" applyBorder="1"/>
    <xf numFmtId="0" fontId="15" fillId="0" borderId="0" xfId="2" applyAlignment="1">
      <alignment horizontal="center" vertical="center"/>
    </xf>
    <xf numFmtId="0" fontId="15" fillId="0" borderId="0" xfId="2" applyAlignment="1">
      <alignment horizontal="center"/>
    </xf>
    <xf numFmtId="0" fontId="14" fillId="0" borderId="0" xfId="3"/>
    <xf numFmtId="0" fontId="14" fillId="0" borderId="0" xfId="3" applyAlignment="1">
      <alignment horizontal="center"/>
    </xf>
    <xf numFmtId="0" fontId="19" fillId="8" borderId="0" xfId="2" applyFont="1" applyFill="1"/>
    <xf numFmtId="0" fontId="19" fillId="8" borderId="0" xfId="2" applyFont="1" applyFill="1" applyAlignment="1">
      <alignment horizontal="center" vertical="center"/>
    </xf>
    <xf numFmtId="0" fontId="19" fillId="8" borderId="0" xfId="2" applyFont="1" applyFill="1" applyAlignment="1">
      <alignment horizontal="center"/>
    </xf>
    <xf numFmtId="22" fontId="15" fillId="0" borderId="0" xfId="2" applyNumberFormat="1" applyAlignment="1">
      <alignment horizontal="center" vertical="center"/>
    </xf>
    <xf numFmtId="22" fontId="15" fillId="0" borderId="0" xfId="2" applyNumberFormat="1"/>
    <xf numFmtId="22" fontId="15" fillId="0" borderId="0" xfId="2" applyNumberFormat="1" applyAlignment="1">
      <alignment horizontal="left" vertical="top" wrapText="1"/>
    </xf>
    <xf numFmtId="0" fontId="15" fillId="0" borderId="0" xfId="2" applyAlignment="1">
      <alignment horizontal="left" vertical="top" wrapText="1"/>
    </xf>
    <xf numFmtId="0" fontId="18" fillId="0" borderId="1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 wrapText="1"/>
    </xf>
    <xf numFmtId="0" fontId="18" fillId="0" borderId="3" xfId="2" applyFont="1" applyBorder="1" applyAlignment="1">
      <alignment horizontal="center" vertical="center" wrapText="1"/>
    </xf>
    <xf numFmtId="0" fontId="18" fillId="0" borderId="2" xfId="4" applyFont="1" applyBorder="1" applyAlignment="1">
      <alignment horizontal="center" vertical="center" wrapText="1"/>
    </xf>
    <xf numFmtId="0" fontId="2" fillId="0" borderId="0" xfId="4" applyFont="1"/>
    <xf numFmtId="0" fontId="14" fillId="0" borderId="0" xfId="4"/>
    <xf numFmtId="0" fontId="20" fillId="0" borderId="17" xfId="2" applyFont="1" applyBorder="1" applyAlignment="1">
      <alignment horizontal="center" vertical="center" wrapText="1"/>
    </xf>
    <xf numFmtId="0" fontId="21" fillId="0" borderId="13" xfId="2" applyFont="1" applyBorder="1" applyAlignment="1">
      <alignment horizontal="center" vertical="center" wrapText="1"/>
    </xf>
    <xf numFmtId="0" fontId="20" fillId="0" borderId="13" xfId="2" applyFont="1" applyBorder="1" applyAlignment="1">
      <alignment horizontal="left" vertical="center" wrapText="1" indent="1"/>
    </xf>
    <xf numFmtId="0" fontId="20" fillId="0" borderId="13" xfId="2" applyFont="1" applyBorder="1" applyAlignment="1" applyProtection="1">
      <alignment horizontal="center" vertical="center" wrapText="1"/>
      <protection locked="0"/>
    </xf>
    <xf numFmtId="0" fontId="22" fillId="0" borderId="13" xfId="4" applyFont="1" applyBorder="1" applyAlignment="1">
      <alignment horizontal="center" vertical="center"/>
    </xf>
    <xf numFmtId="0" fontId="22" fillId="0" borderId="0" xfId="4" applyFont="1" applyAlignment="1">
      <alignment horizontal="center" vertical="center"/>
    </xf>
    <xf numFmtId="49" fontId="20" fillId="0" borderId="13" xfId="2" applyNumberFormat="1" applyFont="1" applyBorder="1" applyAlignment="1">
      <alignment horizontal="left" vertical="center" wrapText="1" indent="1"/>
    </xf>
    <xf numFmtId="0" fontId="20" fillId="0" borderId="18" xfId="2" applyFont="1" applyBorder="1" applyAlignment="1">
      <alignment horizontal="center" vertical="center" wrapText="1"/>
    </xf>
    <xf numFmtId="0" fontId="21" fillId="0" borderId="19" xfId="2" applyFont="1" applyBorder="1" applyAlignment="1">
      <alignment horizontal="center" vertical="center" wrapText="1"/>
    </xf>
    <xf numFmtId="49" fontId="20" fillId="0" borderId="19" xfId="2" applyNumberFormat="1" applyFont="1" applyBorder="1" applyAlignment="1">
      <alignment horizontal="left" vertical="center" wrapText="1" indent="1"/>
    </xf>
    <xf numFmtId="0" fontId="20" fillId="0" borderId="19" xfId="2" applyFont="1" applyBorder="1" applyAlignment="1" applyProtection="1">
      <alignment horizontal="center" vertical="center" wrapText="1"/>
      <protection locked="0"/>
    </xf>
    <xf numFmtId="0" fontId="22" fillId="0" borderId="19" xfId="4" applyFont="1" applyBorder="1" applyAlignment="1">
      <alignment horizontal="center" vertical="center"/>
    </xf>
    <xf numFmtId="0" fontId="20" fillId="9" borderId="7" xfId="2" applyFont="1" applyFill="1" applyBorder="1" applyAlignment="1">
      <alignment horizontal="center" vertical="center" wrapText="1"/>
    </xf>
    <xf numFmtId="0" fontId="21" fillId="9" borderId="14" xfId="2" applyFont="1" applyFill="1" applyBorder="1" applyAlignment="1">
      <alignment horizontal="center" vertical="center" wrapText="1"/>
    </xf>
    <xf numFmtId="49" fontId="20" fillId="9" borderId="14" xfId="2" applyNumberFormat="1" applyFont="1" applyFill="1" applyBorder="1" applyAlignment="1">
      <alignment horizontal="left" vertical="center" wrapText="1" indent="1"/>
    </xf>
    <xf numFmtId="0" fontId="20" fillId="9" borderId="14" xfId="2" applyFont="1" applyFill="1" applyBorder="1" applyAlignment="1">
      <alignment horizontal="center" vertical="center" wrapText="1"/>
    </xf>
    <xf numFmtId="0" fontId="22" fillId="9" borderId="14" xfId="4" applyFont="1" applyFill="1" applyBorder="1" applyAlignment="1">
      <alignment horizontal="center" vertical="center"/>
    </xf>
    <xf numFmtId="0" fontId="22" fillId="9" borderId="20" xfId="4" applyFont="1" applyFill="1" applyBorder="1" applyAlignment="1">
      <alignment horizontal="center" vertical="center"/>
    </xf>
    <xf numFmtId="0" fontId="20" fillId="9" borderId="21" xfId="2" applyFont="1" applyFill="1" applyBorder="1" applyAlignment="1">
      <alignment horizontal="center" vertical="center" wrapText="1"/>
    </xf>
    <xf numFmtId="0" fontId="21" fillId="9" borderId="22" xfId="2" applyFont="1" applyFill="1" applyBorder="1" applyAlignment="1">
      <alignment horizontal="center" vertical="center" wrapText="1"/>
    </xf>
    <xf numFmtId="49" fontId="20" fillId="9" borderId="22" xfId="2" applyNumberFormat="1" applyFont="1" applyFill="1" applyBorder="1" applyAlignment="1">
      <alignment horizontal="left" vertical="center" wrapText="1" indent="1"/>
    </xf>
    <xf numFmtId="0" fontId="20" fillId="9" borderId="22" xfId="2" applyFont="1" applyFill="1" applyBorder="1" applyAlignment="1">
      <alignment horizontal="center" vertical="center" wrapText="1"/>
    </xf>
    <xf numFmtId="0" fontId="22" fillId="9" borderId="22" xfId="4" applyFont="1" applyFill="1" applyBorder="1" applyAlignment="1">
      <alignment horizontal="center" vertical="center"/>
    </xf>
    <xf numFmtId="0" fontId="22" fillId="9" borderId="23" xfId="4" applyFont="1" applyFill="1" applyBorder="1" applyAlignment="1">
      <alignment horizontal="center" vertical="center"/>
    </xf>
    <xf numFmtId="0" fontId="14" fillId="0" borderId="0" xfId="4" applyAlignment="1">
      <alignment horizontal="center"/>
    </xf>
    <xf numFmtId="0" fontId="6" fillId="0" borderId="0" xfId="4" applyFont="1"/>
    <xf numFmtId="22" fontId="0" fillId="0" borderId="8" xfId="0" applyNumberFormat="1" applyBorder="1"/>
    <xf numFmtId="0" fontId="3" fillId="5" borderId="4" xfId="0" applyFont="1" applyFill="1" applyBorder="1" applyAlignment="1">
      <alignment horizontal="left" vertical="center" wrapText="1" indent="2"/>
    </xf>
    <xf numFmtId="0" fontId="5" fillId="5" borderId="4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top" wrapText="1"/>
    </xf>
    <xf numFmtId="0" fontId="1" fillId="2" borderId="0" xfId="0" applyFont="1" applyFill="1" applyAlignment="1">
      <alignment horizontal="center" vertical="top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6" fillId="7" borderId="13" xfId="2" applyFont="1" applyFill="1" applyBorder="1" applyAlignment="1">
      <alignment horizontal="right" vertical="center"/>
    </xf>
    <xf numFmtId="0" fontId="0" fillId="0" borderId="0" xfId="0" applyAlignment="1" applyProtection="1">
      <alignment wrapText="1"/>
      <protection locked="0"/>
    </xf>
  </cellXfs>
  <cellStyles count="5">
    <cellStyle name="Normal" xfId="0" builtinId="0"/>
    <cellStyle name="Normal 2" xfId="2" xr:uid="{7C4FFD34-6F04-4990-A8F7-69426AD1E101}"/>
    <cellStyle name="Normal 2 2" xfId="4" xr:uid="{D3C2B076-FBC6-444F-ABA6-91DC76463244}"/>
    <cellStyle name="Normal 3" xfId="3" xr:uid="{A981BF9C-3454-45B0-B89F-5A35F62D0CAE}"/>
    <cellStyle name="Percent" xfId="1" builtinId="5"/>
  </cellStyles>
  <dxfs count="55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333333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3333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protection locked="1" hidden="0"/>
    </dxf>
    <dxf>
      <font>
        <b/>
        <i/>
        <color rgb="FFFFFF00"/>
      </font>
      <fill>
        <patternFill>
          <bgColor rgb="FF002060"/>
        </patternFill>
      </fill>
    </dxf>
    <dxf>
      <font>
        <b/>
        <i/>
        <color rgb="FFFFFF00"/>
      </font>
      <fill>
        <patternFill>
          <bgColor rgb="FF002060"/>
        </patternFill>
      </fill>
    </dxf>
    <dxf>
      <font>
        <b/>
        <i/>
        <color rgb="FFFFFF0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 val="0"/>
        <i/>
        <color rgb="FFFFFF00"/>
      </font>
      <fill>
        <patternFill>
          <bgColor rgb="FF002060"/>
        </patternFill>
      </fill>
    </dxf>
    <dxf>
      <font>
        <b val="0"/>
        <i/>
        <color rgb="FFFFFF00"/>
      </font>
      <fill>
        <patternFill>
          <bgColor rgb="FF002060"/>
        </patternFill>
      </fill>
    </dxf>
    <dxf>
      <font>
        <b/>
        <i/>
        <color rgb="FFFFFF00"/>
      </font>
      <fill>
        <patternFill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2114550</xdr:colOff>
          <xdr:row>5</xdr:row>
          <xdr:rowOff>95250</xdr:rowOff>
        </xdr:from>
        <xdr:to>
          <xdr:col>4</xdr:col>
          <xdr:colOff>3028950</xdr:colOff>
          <xdr:row>6</xdr:row>
          <xdr:rowOff>200025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OVERRIDE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2114550</xdr:colOff>
          <xdr:row>5</xdr:row>
          <xdr:rowOff>95250</xdr:rowOff>
        </xdr:from>
        <xdr:to>
          <xdr:col>5</xdr:col>
          <xdr:colOff>3028950</xdr:colOff>
          <xdr:row>6</xdr:row>
          <xdr:rowOff>200025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OVERRIDE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5</xdr:row>
          <xdr:rowOff>95250</xdr:rowOff>
        </xdr:from>
        <xdr:to>
          <xdr:col>6</xdr:col>
          <xdr:colOff>3038475</xdr:colOff>
          <xdr:row>6</xdr:row>
          <xdr:rowOff>200025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OVERRIDE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400050</xdr:rowOff>
        </xdr:from>
        <xdr:to>
          <xdr:col>3</xdr:col>
          <xdr:colOff>1019175</xdr:colOff>
          <xdr:row>2</xdr:row>
          <xdr:rowOff>400050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2</xdr:row>
          <xdr:rowOff>552450</xdr:rowOff>
        </xdr:from>
        <xdr:to>
          <xdr:col>3</xdr:col>
          <xdr:colOff>1019175</xdr:colOff>
          <xdr:row>3</xdr:row>
          <xdr:rowOff>266700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PREV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</xdr:row>
          <xdr:rowOff>295275</xdr:rowOff>
        </xdr:from>
        <xdr:to>
          <xdr:col>3</xdr:col>
          <xdr:colOff>1019175</xdr:colOff>
          <xdr:row>5</xdr:row>
          <xdr:rowOff>9525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3105150</xdr:colOff>
          <xdr:row>5</xdr:row>
          <xdr:rowOff>95250</xdr:rowOff>
        </xdr:from>
        <xdr:to>
          <xdr:col>4</xdr:col>
          <xdr:colOff>4019550</xdr:colOff>
          <xdr:row>6</xdr:row>
          <xdr:rowOff>200025</xdr:rowOff>
        </xdr:to>
        <xdr:sp macro="" textlink="">
          <xdr:nvSpPr>
            <xdr:cNvPr id="9237" name="b_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0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3114675</xdr:colOff>
          <xdr:row>5</xdr:row>
          <xdr:rowOff>95250</xdr:rowOff>
        </xdr:from>
        <xdr:to>
          <xdr:col>5</xdr:col>
          <xdr:colOff>4029075</xdr:colOff>
          <xdr:row>6</xdr:row>
          <xdr:rowOff>200025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0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3124200</xdr:colOff>
          <xdr:row>5</xdr:row>
          <xdr:rowOff>95250</xdr:rowOff>
        </xdr:from>
        <xdr:to>
          <xdr:col>6</xdr:col>
          <xdr:colOff>4038600</xdr:colOff>
          <xdr:row>6</xdr:row>
          <xdr:rowOff>200025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0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3</xdr:row>
          <xdr:rowOff>428625</xdr:rowOff>
        </xdr:from>
        <xdr:to>
          <xdr:col>3</xdr:col>
          <xdr:colOff>1019175</xdr:colOff>
          <xdr:row>4</xdr:row>
          <xdr:rowOff>142875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0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171450</xdr:rowOff>
        </xdr:from>
        <xdr:to>
          <xdr:col>2</xdr:col>
          <xdr:colOff>257175</xdr:colOff>
          <xdr:row>0</xdr:row>
          <xdr:rowOff>542925</xdr:rowOff>
        </xdr:to>
        <xdr:sp macro="" textlink="">
          <xdr:nvSpPr>
            <xdr:cNvPr id="9247" name="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0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0</xdr:row>
          <xdr:rowOff>171450</xdr:rowOff>
        </xdr:from>
        <xdr:to>
          <xdr:col>2</xdr:col>
          <xdr:colOff>1352550</xdr:colOff>
          <xdr:row>0</xdr:row>
          <xdr:rowOff>542925</xdr:rowOff>
        </xdr:to>
        <xdr:sp macro="" textlink="">
          <xdr:nvSpPr>
            <xdr:cNvPr id="9248" name="Button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0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685800</xdr:rowOff>
        </xdr:from>
        <xdr:to>
          <xdr:col>2</xdr:col>
          <xdr:colOff>1343025</xdr:colOff>
          <xdr:row>1</xdr:row>
          <xdr:rowOff>180975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0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SCORE &amp; 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</xdr:row>
          <xdr:rowOff>190500</xdr:rowOff>
        </xdr:from>
        <xdr:to>
          <xdr:col>2</xdr:col>
          <xdr:colOff>1333500</xdr:colOff>
          <xdr:row>6</xdr:row>
          <xdr:rowOff>257175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0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REVIEW/UNREVIEW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5</xdr:row>
          <xdr:rowOff>190500</xdr:rowOff>
        </xdr:from>
        <xdr:to>
          <xdr:col>3</xdr:col>
          <xdr:colOff>1019175</xdr:colOff>
          <xdr:row>6</xdr:row>
          <xdr:rowOff>257175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0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CHECK-IN!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review" displayName="review" ref="B8:H508" totalsRowShown="0" headerRowDxfId="47" dataDxfId="45" headerRowBorderDxfId="46">
  <tableColumns count="7">
    <tableColumn id="1" xr3:uid="{00000000-0010-0000-0000-000001000000}" name="ROW NO." dataDxfId="44">
      <calculatedColumnFormula>IF(LEN(C9)&lt;1,"",IF(NOT(_xlfn.ISFORMULA(B8)),1,B8+1))</calculatedColumnFormula>
    </tableColumn>
    <tableColumn id="2" xr3:uid="{00000000-0010-0000-0000-000002000000}" name="PATIENT NAME" dataDxfId="43">
      <calculatedColumnFormula>IF(NOT(ISBLANK(DATA2!C9)),DATA2!C9,"")</calculatedColumnFormula>
    </tableColumn>
    <tableColumn id="3" xr3:uid="{00000000-0010-0000-0000-000003000000}" name="FIN" dataDxfId="42">
      <calculatedColumnFormula>IF(NOT(ISBLANK(DATA2!D9)),DATA2!D9,"")</calculatedColumnFormula>
    </tableColumn>
    <tableColumn id="4" xr3:uid="{00000000-0010-0000-0000-000004000000}" name="COMPLETION FLAG" dataDxfId="41">
      <calculatedColumnFormula>IF(ISBLANK(DATA2!E9),"",IF(ISBLANK(DATA!C9),DATA2!E9,"Flag override: " &amp; TEXT(DATA!C9, "mm/dd/yyyy hh:mm") ))</calculatedColumnFormula>
    </tableColumn>
    <tableColumn id="6" xr3:uid="{00000000-0010-0000-0000-000006000000}" name="SCHEDULE FLAG" dataDxfId="40">
      <calculatedColumnFormula>IF(ISBLANK(DATA2!F9),"",IF(ISBLANK(DATA!D9),DATA2!F9,"Flag override " &amp; TEXT(DATA!D9, "mm/dd/yyyy hh:mm")))</calculatedColumnFormula>
    </tableColumn>
    <tableColumn id="8" xr3:uid="{00000000-0010-0000-0000-000008000000}" name="EFFECTIVENESS FLAG" dataDxfId="39">
      <calculatedColumnFormula>IF(DATA2!G9 = 0, "", IF(ISBLANK(DATA2!G9),"",IF(ISBLANK(DATA!E9),DATA2!G9,"Flag override " &amp; TEXT(DATA!E9,"mm/dd/yyyy hh:mm"))))</calculatedColumnFormula>
    </tableColumn>
    <tableColumn id="9" xr3:uid="{00000000-0010-0000-0000-000009000000}" name="REVIEWED" dataDxfId="38">
      <calculatedColumnFormula>IF(DATA!$G9&gt;0,TEXT(DATA!G9,"mm/dd/yyyy hh:mm"),"")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B025EE7-2316-4BEB-92C6-B4B129F993A5}" name="ADTA" displayName="ADTA" ref="A1:F11" totalsRowShown="0" headerRowDxfId="35" headerRowBorderDxfId="34" tableBorderDxfId="33">
  <autoFilter ref="A1:F11" xr:uid="{00000000-0009-0000-0100-000005000000}"/>
  <sortState xmlns:xlrd2="http://schemas.microsoft.com/office/spreadsheetml/2017/richdata2" ref="A2:E11">
    <sortCondition ref="B1:B11"/>
  </sortState>
  <tableColumns count="6">
    <tableColumn id="1" xr3:uid="{BEE6EB65-4D9A-43A8-AAB4-4CDB3B3CCFE7}" name="Clinical Event Code" dataDxfId="32"/>
    <tableColumn id="3" xr3:uid="{F1C030F3-5070-44E9-92D8-1981C8AC4A6E}" name="Event Letter Code" dataDxfId="31"/>
    <tableColumn id="4" xr3:uid="{7F819F12-B5E8-4897-9ADB-61E7DD4043BD}" name="Event Name" dataDxfId="30"/>
    <tableColumn id="5" xr3:uid="{2FFCE18A-8D50-4952-917B-D98D0E79F555}" name="Required?" dataDxfId="29" dataCellStyle="Normal 2"/>
    <tableColumn id="6" xr3:uid="{03F49A07-F036-4DC5-AFDF-2F4A1A481FF2}" name="BuildCode" dataDxfId="28" dataCellStyle="Normal 2">
      <calculatedColumnFormula>IF(LEFT(D2,1)="Y",B2,"")</calculatedColumnFormula>
    </tableColumn>
    <tableColumn id="7" xr3:uid="{D5C8BA60-E488-497B-8D0E-6AADAE9D77C8}" name="MatchString" dataDxfId="27" dataCellStyle="Normal 2">
      <calculatedColumnFormula>IF(AND( NOT(_xlfn.ISFORMULA(F1)),D2="YES"),E2, IF( AND( NOT(_xlfn.ISFORMULA(F1)), D2&lt;&gt;"YES"), "", IF( OR(E2="w", E2="x", E2="y"     ), CONCATENATE( $F$8&amp;E2), IF( D2 = "YES", CONCATENATE(F1&amp;E2),F1))))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B11DFC-74B6-4981-8679-04603F777712}" name="StaffKey" displayName="StaffKey" ref="A3:E54" totalsRowShown="0">
  <autoFilter ref="A3:E54" xr:uid="{00000000-0009-0000-0100-000001000000}"/>
  <sortState xmlns:xlrd2="http://schemas.microsoft.com/office/spreadsheetml/2017/richdata2" ref="A4:E54">
    <sortCondition ref="D3:D54"/>
  </sortState>
  <tableColumns count="5">
    <tableColumn id="1" xr3:uid="{0D5B3494-AA8C-4C8A-8651-64FB0A80BCBD}" name="STAFF NAME"/>
    <tableColumn id="2" xr3:uid="{723A10C5-062D-4227-B02B-30991D3539DC}" name="EMR-Position (OPTIONAL)"/>
    <tableColumn id="3" xr3:uid="{B34C92CA-64B7-47F5-8451-F0581D8F8F23}" name="EMAIL (OPTIONAL)"/>
    <tableColumn id="4" xr3:uid="{C2151732-40F4-4C62-A567-231474E2ED97}" name="APPLY FLAGS?" dataDxfId="20"/>
    <tableColumn id="5" xr3:uid="{570A01C7-EC40-4392-8B0A-EFE0C80C8A67}" name="SOURCE" dataDxfId="19" dataCellStyle="Normal 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affscore" displayName="staffscore" ref="A1:C2" insertRow="1" totalsRowShown="0">
  <autoFilter ref="A1:C2" xr:uid="{00000000-0009-0000-0100-000001000000}"/>
  <tableColumns count="3">
    <tableColumn id="1" xr3:uid="{00000000-0010-0000-0100-000001000000}" name="NAME"/>
    <tableColumn id="2" xr3:uid="{00000000-0010-0000-0100-000002000000}" name="COMP_FLAGS"/>
    <tableColumn id="3" xr3:uid="{00000000-0010-0000-0100-000003000000}" name="SCHED_FLAG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odescore" displayName="codescore" ref="A1:B2" totalsRowShown="0">
  <autoFilter ref="A1:B2" xr:uid="{00000000-0009-0000-0100-000004000000}"/>
  <tableColumns count="2">
    <tableColumn id="1" xr3:uid="{00000000-0010-0000-0200-000001000000}" name="DTA"/>
    <tableColumn id="2" xr3:uid="{00000000-0010-0000-0200-000002000000}" name="COMP FLAG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stamps" displayName="stamps" ref="B8:J509" totalsRowShown="0" headerRowDxfId="18" dataDxfId="17">
  <autoFilter ref="B8:J509" xr:uid="{00000000-0009-0000-0100-000002000000}"/>
  <tableColumns count="9">
    <tableColumn id="3" xr3:uid="{00000000-0010-0000-0300-000003000000}" name="REVROW" dataDxfId="16">
      <calculatedColumnFormula>DATA2!$B9</calculatedColumnFormula>
    </tableColumn>
    <tableColumn id="1" xr3:uid="{00000000-0010-0000-0300-000001000000}" name="COMP FLAG OR" dataDxfId="15"/>
    <tableColumn id="2" xr3:uid="{00000000-0010-0000-0300-000002000000}" name="SCHED FLAG OR" dataDxfId="14"/>
    <tableColumn id="4" xr3:uid="{00000000-0010-0000-0300-000004000000}" name="EFFECTIVE FLAG OR" dataDxfId="13"/>
    <tableColumn id="5" xr3:uid="{00000000-0010-0000-0300-000005000000}" name="REVIEW D/T" dataDxfId="12"/>
    <tableColumn id="6" xr3:uid="{00000000-0010-0000-0300-000006000000}" name="Status" dataDxfId="11">
      <calculatedColumnFormula>IF(LEN(C9) + LEN(D9) + LEN(E9)  + LEN(F9)&gt; 0, TEXT(MAX(C9:F9),"mm/dd/yyyy hh:mm"),"")</calculatedColumnFormula>
    </tableColumn>
    <tableColumn id="7" xr3:uid="{00000000-0010-0000-0300-000007000000}" name="C1" dataDxfId="10"/>
    <tableColumn id="8" xr3:uid="{00000000-0010-0000-0300-000008000000}" name="C2" dataDxfId="9"/>
    <tableColumn id="9" xr3:uid="{00000000-0010-0000-0300-000009000000}" name="C3" data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import" displayName="import" ref="B8:G122" totalsRowShown="0" headerRowDxfId="7" dataDxfId="6">
  <autoFilter ref="B8:G122" xr:uid="{00000000-0009-0000-0100-000003000000}"/>
  <tableColumns count="6">
    <tableColumn id="6" xr3:uid="{00000000-0010-0000-0400-000006000000}" name="row" dataDxfId="5">
      <calculatedColumnFormula>IF(ISBLANK(C9),"",IF(NOT(_xlfn.ISFORMULA(B8)),1,B8+1))</calculatedColumnFormula>
    </tableColumn>
    <tableColumn id="1" xr3:uid="{00000000-0010-0000-0400-000001000000}" name="NAME" dataDxfId="4"/>
    <tableColumn id="2" xr3:uid="{00000000-0010-0000-0400-000002000000}" name="FIN" dataDxfId="3"/>
    <tableColumn id="3" xr3:uid="{00000000-0010-0000-0400-000003000000}" name="COMP" dataDxfId="2"/>
    <tableColumn id="4" xr3:uid="{00000000-0010-0000-0400-000004000000}" name="TIMING" dataDxfId="1"/>
    <tableColumn id="5" xr3:uid="{00000000-0010-0000-0400-000005000000}" name="EFF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Z509"/>
  <sheetViews>
    <sheetView tabSelected="1" zoomScale="80" zoomScaleNormal="80" workbookViewId="0">
      <pane ySplit="8" topLeftCell="A9" activePane="bottomLeft" state="frozen"/>
      <selection pane="bottomLeft" activeCell="E6" sqref="E6:E7"/>
    </sheetView>
  </sheetViews>
  <sheetFormatPr defaultColWidth="0" defaultRowHeight="15" zeroHeight="1" x14ac:dyDescent="0.25"/>
  <cols>
    <col min="1" max="1" width="4.5703125" style="24" customWidth="1"/>
    <col min="2" max="2" width="11.5703125" style="28" customWidth="1"/>
    <col min="3" max="3" width="21.5703125" style="28" customWidth="1"/>
    <col min="4" max="4" width="16.7109375" style="28" customWidth="1"/>
    <col min="5" max="7" width="60.7109375" customWidth="1"/>
    <col min="8" max="8" width="20.5703125" style="28" customWidth="1"/>
    <col min="9" max="9" width="4.5703125" customWidth="1"/>
    <col min="10" max="10" width="15.7109375" hidden="1" customWidth="1"/>
    <col min="11" max="18" width="9.140625" hidden="1" customWidth="1"/>
    <col min="19" max="19" width="12.28515625" hidden="1" customWidth="1"/>
    <col min="20" max="20" width="12" hidden="1" customWidth="1"/>
    <col min="21" max="21" width="10.7109375" hidden="1" customWidth="1"/>
    <col min="22" max="22" width="15.28515625" hidden="1" customWidth="1"/>
    <col min="23" max="16384" width="9.140625" hidden="1"/>
  </cols>
  <sheetData>
    <row r="1" spans="1:22" s="4" customFormat="1" ht="69" customHeight="1" thickTop="1" thickBot="1" x14ac:dyDescent="0.3">
      <c r="A1" s="11"/>
      <c r="B1" s="39"/>
      <c r="C1" s="39"/>
      <c r="D1" s="12" t="s">
        <v>11</v>
      </c>
      <c r="E1" s="13" t="str">
        <f>IF(C2&lt;1,"","COMP: " &amp; SUMPRODUCT(N(LEN(E9:E309)&gt;35)))</f>
        <v>COMP: 2</v>
      </c>
      <c r="F1" s="13" t="str">
        <f>IF(C2&lt;1,"","SCHED: " &amp; SUMPRODUCT(N(LEN(F9:F309)&gt;35)))</f>
        <v>SCHED: 101</v>
      </c>
      <c r="G1" s="13" t="str">
        <f>IF(C2&lt;1,"","EFF: " &amp; SUMPRODUCT(N(LEN(G10:G309)&gt;35)))</f>
        <v>EFF: 37</v>
      </c>
      <c r="H1" s="40"/>
      <c r="I1" s="31">
        <f>SUMPRODUCT(N(LEN(I9:I309)&gt;0))</f>
        <v>0</v>
      </c>
      <c r="J1" s="39"/>
      <c r="S1" s="45" t="s">
        <v>46</v>
      </c>
      <c r="T1" s="45" t="s">
        <v>47</v>
      </c>
      <c r="U1" s="45" t="s">
        <v>48</v>
      </c>
      <c r="V1" s="45" t="s">
        <v>49</v>
      </c>
    </row>
    <row r="2" spans="1:22" s="4" customFormat="1" ht="32.25" customHeight="1" thickTop="1" thickBot="1" x14ac:dyDescent="0.3">
      <c r="A2" s="11"/>
      <c r="B2" s="14"/>
      <c r="C2" s="15">
        <f>COUNTIF(C9:C520, "?*")</f>
        <v>114</v>
      </c>
      <c r="D2" s="16"/>
      <c r="E2" s="17" t="str">
        <f>"COMPLETION FLAG  (Row No. "&amp;$C$3&amp;"/"&amp;$C$2&amp;")"</f>
        <v>COMPLETION FLAG  (Row No. 7/114)</v>
      </c>
      <c r="F2" s="17" t="str">
        <f>"SCHEDULE FLAG  (Row No. "&amp;$C$3&amp;"/"&amp;$C$2&amp;")"</f>
        <v>SCHEDULE FLAG  (Row No. 7/114)</v>
      </c>
      <c r="G2" s="17" t="str">
        <f>"EFFECTIVENESS FLAG  (Row No. "&amp;$C$3&amp;"/"&amp;$C$2&amp;")"</f>
        <v>EFFECTIVENESS FLAG  (Row No. 7/114)</v>
      </c>
      <c r="H2" s="14" t="s">
        <v>18</v>
      </c>
      <c r="I2" s="39"/>
      <c r="J2" s="39"/>
      <c r="K2" s="4">
        <f>IF(C2&lt;1,"",SUMPRODUCT(N(LEN(E9:E309)&gt;35)))</f>
        <v>2</v>
      </c>
      <c r="L2" s="4">
        <f>IF(C2&lt;1,"",SUMPRODUCT(N(LEN(F9:F309)&gt;35)))</f>
        <v>101</v>
      </c>
      <c r="M2" s="4">
        <f>IF(C2&lt;1,"",SUMPRODUCT(N(LEN(G9:G309)&gt;35)))</f>
        <v>37</v>
      </c>
      <c r="S2" s="45">
        <v>103</v>
      </c>
      <c r="T2" s="45">
        <v>93</v>
      </c>
      <c r="U2" s="45">
        <v>71</v>
      </c>
      <c r="V2" s="45">
        <v>22</v>
      </c>
    </row>
    <row r="3" spans="1:22" s="4" customFormat="1" ht="54.95" customHeight="1" thickTop="1" thickBot="1" x14ac:dyDescent="0.3">
      <c r="A3" s="11"/>
      <c r="B3" s="18" t="s">
        <v>17</v>
      </c>
      <c r="C3" s="29">
        <v>7</v>
      </c>
      <c r="D3" s="20"/>
      <c r="E3" s="109" t="str">
        <f ca="1">IF(C2&lt;1,"",INDIRECT("e" &amp; $C$3 + 8))</f>
        <v/>
      </c>
      <c r="F3" s="109" t="str">
        <f ca="1">IF(C2&lt;1,"",INDIRECT("f"&amp;$C$3+8))</f>
        <v xml:space="preserve">139 minutes elapsed between pain scores while patient has active Epidural Infusion Spine, Lumbar within first 24 hours.
First infusion record charted @ 06/15/23 11:26:00
Previous score charted @ 06/16/23 07:11:00
Flagged score charted @ 06/16/23 09:30:00)
[IRF]
 ||Sims RN, Brenda D.||
</v>
      </c>
      <c r="G3" s="109" t="str">
        <f ca="1">IF(C2&lt;1,"",INDIRECT("g" &amp; $C$3 + 8))</f>
        <v/>
      </c>
      <c r="H3" s="110" t="str">
        <f ca="1">IF(C2&lt;1,"",INDIRECT("h" &amp; $C$3 + 8))</f>
        <v/>
      </c>
      <c r="I3" s="39"/>
      <c r="J3" s="39"/>
      <c r="K3" s="4">
        <f>COUNTIF(E9:E509, "*[IRF]*")</f>
        <v>0</v>
      </c>
      <c r="L3" s="4">
        <f t="shared" ref="L3" si="0">COUNTIF(F9:F509, "*[IRF]*")</f>
        <v>29</v>
      </c>
      <c r="M3" s="4">
        <f>COUNTIF(G9:G509, "*[Narc]*")</f>
        <v>29</v>
      </c>
      <c r="R3" s="4" t="s">
        <v>50</v>
      </c>
      <c r="S3" s="46">
        <f>1- SUM((K3+L3)/S2)</f>
        <v>0.71844660194174759</v>
      </c>
    </row>
    <row r="4" spans="1:22" s="4" customFormat="1" ht="54.95" customHeight="1" thickTop="1" thickBot="1" x14ac:dyDescent="0.3">
      <c r="A4" s="11"/>
      <c r="B4" s="18" t="s">
        <v>0</v>
      </c>
      <c r="C4" s="32" t="str">
        <f ca="1">IF(C2&lt;1,"",INDIRECT("C" &amp; $C$3 + 8))</f>
        <v>NNNNNN, Sophia</v>
      </c>
      <c r="D4" s="20"/>
      <c r="E4" s="109">
        <f t="shared" ref="E4:H5" ca="1" si="1">INDIRECT("d" &amp; $C$3 + 8)</f>
        <v>80808095</v>
      </c>
      <c r="F4" s="109">
        <f t="shared" ca="1" si="1"/>
        <v>80808095</v>
      </c>
      <c r="G4" s="109">
        <f t="shared" ca="1" si="1"/>
        <v>80808095</v>
      </c>
      <c r="H4" s="110">
        <f t="shared" ca="1" si="1"/>
        <v>80808095</v>
      </c>
      <c r="I4" s="39"/>
      <c r="J4" s="39"/>
      <c r="K4" s="4">
        <f>COUNTIF(E9:E509, "*[PRF]*")</f>
        <v>2</v>
      </c>
      <c r="L4" s="4">
        <f t="shared" ref="L4" si="2">COUNTIF(F9:F509, "*[PRF]*")</f>
        <v>60</v>
      </c>
      <c r="M4" s="4">
        <f>COUNTIF(G9:G509, "*[Non-Narc]*")</f>
        <v>8</v>
      </c>
      <c r="R4" s="4" t="s">
        <v>51</v>
      </c>
      <c r="S4" s="46">
        <f>1- SUM((K4+L4)/T2)</f>
        <v>0.33333333333333337</v>
      </c>
    </row>
    <row r="5" spans="1:22" s="4" customFormat="1" ht="54.95" customHeight="1" thickTop="1" thickBot="1" x14ac:dyDescent="0.3">
      <c r="A5" s="11"/>
      <c r="B5" s="18" t="s">
        <v>1</v>
      </c>
      <c r="C5" s="19">
        <f ca="1">IF(C2&lt;1,"",INDIRECT("d" &amp; $C$3 + 8))</f>
        <v>80808095</v>
      </c>
      <c r="D5" s="20"/>
      <c r="E5" s="109">
        <f t="shared" ca="1" si="1"/>
        <v>80808095</v>
      </c>
      <c r="F5" s="109">
        <f t="shared" ca="1" si="1"/>
        <v>80808095</v>
      </c>
      <c r="G5" s="109">
        <f t="shared" ca="1" si="1"/>
        <v>80808095</v>
      </c>
      <c r="H5" s="110">
        <f t="shared" ca="1" si="1"/>
        <v>80808095</v>
      </c>
      <c r="I5" s="39"/>
      <c r="J5" s="39"/>
      <c r="R5" s="4" t="s">
        <v>52</v>
      </c>
      <c r="S5" s="47">
        <f>1 -(M3/U2)</f>
        <v>0.59154929577464788</v>
      </c>
    </row>
    <row r="6" spans="1:22" s="4" customFormat="1" ht="24" thickTop="1" x14ac:dyDescent="0.25">
      <c r="A6" s="11"/>
      <c r="B6" s="39"/>
      <c r="C6" s="39"/>
      <c r="D6" s="12"/>
      <c r="E6" s="111"/>
      <c r="F6" s="113"/>
      <c r="G6" s="115"/>
      <c r="H6" s="115" t="str">
        <f>IF(C2&lt;1,"","Pending  = " &amp; C2 - COUNTIF(H9:H520, "?*"))</f>
        <v>Pending  = 114</v>
      </c>
      <c r="I6" s="39"/>
      <c r="J6" s="39"/>
      <c r="R6" s="4" t="s">
        <v>53</v>
      </c>
      <c r="S6" s="47">
        <f>1-(M4/V2)</f>
        <v>0.63636363636363635</v>
      </c>
    </row>
    <row r="7" spans="1:22" s="4" customFormat="1" ht="32.25" customHeight="1" x14ac:dyDescent="0.25">
      <c r="A7" s="11"/>
      <c r="B7" s="39"/>
      <c r="C7" s="39"/>
      <c r="D7" s="12"/>
      <c r="E7" s="112"/>
      <c r="F7" s="114"/>
      <c r="G7" s="116"/>
      <c r="H7" s="116"/>
      <c r="I7" s="38">
        <f>C2 - COUNTIF(H9:H520, "?*")</f>
        <v>114</v>
      </c>
      <c r="J7" s="21"/>
    </row>
    <row r="8" spans="1:22" s="23" customFormat="1" ht="23.25" x14ac:dyDescent="0.25">
      <c r="A8" s="22"/>
      <c r="B8" s="41" t="s">
        <v>16</v>
      </c>
      <c r="C8" s="41" t="s">
        <v>14</v>
      </c>
      <c r="D8" s="42" t="s">
        <v>1</v>
      </c>
      <c r="E8" s="43" t="s">
        <v>2</v>
      </c>
      <c r="F8" s="43" t="s">
        <v>3</v>
      </c>
      <c r="G8" s="44" t="s">
        <v>4</v>
      </c>
      <c r="H8" s="42" t="s">
        <v>13</v>
      </c>
      <c r="I8" s="21"/>
    </row>
    <row r="9" spans="1:22" ht="23.25" x14ac:dyDescent="0.25">
      <c r="B9" s="25">
        <f t="shared" ref="B9:B72" si="3">IF(LEN(C9)&lt;1,"",IF(NOT(_xlfn.ISFORMULA(B8)),1,B8+1))</f>
        <v>1</v>
      </c>
      <c r="C9" s="25" t="str">
        <f>IF(NOT(ISBLANK(DATA2!C9)),DATA2!C9,"")</f>
        <v>PPPPPP, Noah R</v>
      </c>
      <c r="D9" s="25">
        <f>IF(NOT(ISBLANK(DATA2!D9)),DATA2!D9,"")</f>
        <v>80808022</v>
      </c>
      <c r="E9" s="26" t="str">
        <f>IF(ISBLANK(DATA2!E9),"",IF(ISBLANK(DATA!C9),DATA2!E9,"Flag override: " &amp; TEXT(DATA!C9, "mm/dd/yyyy hh:mm") ))</f>
        <v xml:space="preserve">[PRF]
No follow-up pain assessment observed after Oral oxycoDONE charted @ 06/20/23 12:59:00
Patient discharged @ 06/20/23 14:12:00
 ||Herrera RN, Tenaha||
</v>
      </c>
      <c r="F9" s="27" t="str">
        <f>IF(ISBLANK(DATA2!F9),"",IF(ISBLANK(DATA!D9),DATA2!F9,"Flag override " &amp; TEXT(DATA!D9, "mm/dd/yyyy hh:mm")))</f>
        <v/>
      </c>
      <c r="G9" s="27" t="str">
        <f>IF(DATA2!G9 = 0, "", IF(ISBLANK(DATA2!G9),"",IF(ISBLANK(DATA!E9),DATA2!G9,"Flag override " &amp; TEXT(DATA!E9,"mm/dd/yyyy hh:mm"))))</f>
        <v/>
      </c>
      <c r="H9" s="25" t="str">
        <f>IF(DATA!$G9&gt;0,TEXT(DATA!G9,"mm/dd/yyyy hh:mm"),"")</f>
        <v/>
      </c>
      <c r="I9" s="21"/>
    </row>
    <row r="10" spans="1:22" ht="23.25" x14ac:dyDescent="0.25">
      <c r="B10" s="25">
        <f t="shared" si="3"/>
        <v>2</v>
      </c>
      <c r="C10" s="25" t="str">
        <f>IF(NOT(ISBLANK(DATA2!C10)),DATA2!C10,"")</f>
        <v>NNNNNN, Sophia</v>
      </c>
      <c r="D10" s="25">
        <f>IF(NOT(ISBLANK(DATA2!D10)),DATA2!D10,"")</f>
        <v>80808095</v>
      </c>
      <c r="E10" s="26" t="str">
        <f>IF(ISBLANK(DATA2!E10),"",IF(ISBLANK(DATA!C10),DATA2!E10,"Flag override: " &amp; TEXT(DATA!C10, "mm/dd/yyyy hh:mm") ))</f>
        <v/>
      </c>
      <c r="F10" s="27" t="str">
        <f>IF(ISBLANK(DATA2!F10),"",IF(ISBLANK(DATA!D10),DATA2!F10,"Flag override " &amp; TEXT(DATA!D10, "mm/dd/yyyy hh:mm")))</f>
        <v xml:space="preserve">[IRF]
The follow-up pain assessment charted after Epidural Infusion Spine, Lumbar rate/status change charted @ 06/15/23 13:10:00 was 48 minutes late.
The FLACC Revised, Score was due within 75min (60-policy + 15-grace period) but was not charted until 06/15/23 15:13:00 ||Gering RN, Esther||
</v>
      </c>
      <c r="G10" s="27" t="str">
        <f>IF(DATA2!G10 = 0, "", IF(ISBLANK(DATA2!G10),"",IF(ISBLANK(DATA!E10),DATA2!G10,"Flag override " &amp; TEXT(DATA!E10,"mm/dd/yyyy hh:mm"))))</f>
        <v/>
      </c>
      <c r="H10" s="25" t="str">
        <f>IF(DATA!$G10&gt;0,TEXT(DATA!G10,"mm/dd/yyyy hh:mm"),"")</f>
        <v/>
      </c>
      <c r="I10" s="21"/>
    </row>
    <row r="11" spans="1:22" ht="23.25" x14ac:dyDescent="0.25">
      <c r="B11" s="25">
        <f t="shared" si="3"/>
        <v>3</v>
      </c>
      <c r="C11" s="25" t="str">
        <f>IF(NOT(ISBLANK(DATA2!C11)),DATA2!C11,"")</f>
        <v>NNNNNN, Sophia</v>
      </c>
      <c r="D11" s="25">
        <f>IF(NOT(ISBLANK(DATA2!D11)),DATA2!D11,"")</f>
        <v>80808095</v>
      </c>
      <c r="E11" s="26" t="str">
        <f>IF(ISBLANK(DATA2!E11),"",IF(ISBLANK(DATA!C11),DATA2!E11,"Flag override: " &amp; TEXT(DATA!C11, "mm/dd/yyyy hh:mm") ))</f>
        <v/>
      </c>
      <c r="F11" s="27" t="str">
        <f>IF(ISBLANK(DATA2!F11),"",IF(ISBLANK(DATA!D11),DATA2!F11,"Flag override " &amp; TEXT(DATA!D11, "mm/dd/yyyy hh:mm")))</f>
        <v xml:space="preserve">151 minutes elapsed between pain scores while patient has active Epidural Infusion Spine, Lumbar within first 24 hours.
First infusion record charted @ 06/15/23 11:26:00
Previous score charted @ 06/15/23 12:42:00
Flagged score charted @ 06/15/23 15:13:00)
[IRF]
 ||Gering RN, Esther||
</v>
      </c>
      <c r="G11" s="27" t="str">
        <f>IF(DATA2!G11 = 0, "", IF(ISBLANK(DATA2!G11),"",IF(ISBLANK(DATA!E11),DATA2!G11,"Flag override " &amp; TEXT(DATA!E11,"mm/dd/yyyy hh:mm"))))</f>
        <v/>
      </c>
      <c r="H11" s="25" t="str">
        <f>IF(DATA!$G11&gt;0,TEXT(DATA!G11,"mm/dd/yyyy hh:mm"),"")</f>
        <v/>
      </c>
      <c r="I11" s="21"/>
    </row>
    <row r="12" spans="1:22" ht="23.25" x14ac:dyDescent="0.25">
      <c r="B12" s="25">
        <f t="shared" si="3"/>
        <v>4</v>
      </c>
      <c r="C12" s="25" t="str">
        <f>IF(NOT(ISBLANK(DATA2!C12)),DATA2!C12,"")</f>
        <v>NNNNNN, Sophia</v>
      </c>
      <c r="D12" s="25">
        <f>IF(NOT(ISBLANK(DATA2!D12)),DATA2!D12,"")</f>
        <v>80808095</v>
      </c>
      <c r="E12" s="26" t="str">
        <f>IF(ISBLANK(DATA2!E12),"",IF(ISBLANK(DATA!C12),DATA2!E12,"Flag override: " &amp; TEXT(DATA!C12, "mm/dd/yyyy hh:mm") ))</f>
        <v/>
      </c>
      <c r="F12" s="27" t="str">
        <f>IF(ISBLANK(DATA2!F12),"",IF(ISBLANK(DATA!D12),DATA2!F12,"Flag override " &amp; TEXT(DATA!D12, "mm/dd/yyyy hh:mm")))</f>
        <v xml:space="preserve">181 minutes elapsed between pain scores while patient has active Epidural Infusion Spine, Lumbar within first 24 hours.
First infusion record charted @ 06/15/23 11:26:00
Previous score charted @ 06/15/23 20:37:00
Flagged score charted @ 06/15/23 23:38:00)
[IRF]
 ||Lindenfeld RN, Dorothy||
</v>
      </c>
      <c r="G12" s="27" t="str">
        <f>IF(DATA2!G12 = 0, "", IF(ISBLANK(DATA2!G12),"",IF(ISBLANK(DATA!E12),DATA2!G12,"Flag override " &amp; TEXT(DATA!E12,"mm/dd/yyyy hh:mm"))))</f>
        <v/>
      </c>
      <c r="H12" s="25" t="str">
        <f>IF(DATA!$G12&gt;0,TEXT(DATA!G12,"mm/dd/yyyy hh:mm"),"")</f>
        <v/>
      </c>
      <c r="I12" s="21"/>
    </row>
    <row r="13" spans="1:22" ht="23.25" x14ac:dyDescent="0.25">
      <c r="B13" s="25">
        <f t="shared" si="3"/>
        <v>5</v>
      </c>
      <c r="C13" s="25" t="str">
        <f>IF(NOT(ISBLANK(DATA2!C13)),DATA2!C13,"")</f>
        <v>NNNNNN, Sophia</v>
      </c>
      <c r="D13" s="25">
        <f>IF(NOT(ISBLANK(DATA2!D13)),DATA2!D13,"")</f>
        <v>80808095</v>
      </c>
      <c r="E13" s="26" t="str">
        <f>IF(ISBLANK(DATA2!E13),"",IF(ISBLANK(DATA!C13),DATA2!E13,"Flag override: " &amp; TEXT(DATA!C13, "mm/dd/yyyy hh:mm") ))</f>
        <v/>
      </c>
      <c r="F13" s="27" t="str">
        <f>IF(ISBLANK(DATA2!F13),"",IF(ISBLANK(DATA!D13),DATA2!F13,"Flag override " &amp; TEXT(DATA!D13, "mm/dd/yyyy hh:mm")))</f>
        <v xml:space="preserve">228 minutes elapsed between pain scores while patient has active Epidural Infusion Spine, Lumbar within first 24 hours.
First infusion record charted @ 06/15/23 11:26:00
Previous score charted @ 06/15/23 23:38:00
Flagged score charted @ 06/16/23 03:26:00)
[IRF]
 ||Rouse BSN, RN, Gabrielle||
</v>
      </c>
      <c r="G13" s="27" t="str">
        <f>IF(DATA2!G13 = 0, "", IF(ISBLANK(DATA2!G13),"",IF(ISBLANK(DATA!E13),DATA2!G13,"Flag override " &amp; TEXT(DATA!E13,"mm/dd/yyyy hh:mm"))))</f>
        <v/>
      </c>
      <c r="H13" s="25" t="str">
        <f>IF(DATA!$G13&gt;0,TEXT(DATA!G13,"mm/dd/yyyy hh:mm"),"")</f>
        <v/>
      </c>
      <c r="I13" s="21"/>
    </row>
    <row r="14" spans="1:22" ht="23.25" x14ac:dyDescent="0.25">
      <c r="B14" s="25">
        <f t="shared" si="3"/>
        <v>6</v>
      </c>
      <c r="C14" s="25" t="str">
        <f>IF(NOT(ISBLANK(DATA2!C14)),DATA2!C14,"")</f>
        <v>NNNNNN, Sophia</v>
      </c>
      <c r="D14" s="25">
        <f>IF(NOT(ISBLANK(DATA2!D14)),DATA2!D14,"")</f>
        <v>80808095</v>
      </c>
      <c r="E14" s="26" t="str">
        <f>IF(ISBLANK(DATA2!E14),"",IF(ISBLANK(DATA!C14),DATA2!E14,"Flag override: " &amp; TEXT(DATA!C14, "mm/dd/yyyy hh:mm") ))</f>
        <v/>
      </c>
      <c r="F14" s="27" t="str">
        <f>IF(ISBLANK(DATA2!F14),"",IF(ISBLANK(DATA!D14),DATA2!F14,"Flag override " &amp; TEXT(DATA!D14, "mm/dd/yyyy hh:mm")))</f>
        <v xml:space="preserve">137 minutes elapsed between pain scores while patient has active Epidural Infusion Spine, Lumbar within first 24 hours.
First infusion record charted @ 06/15/23 11:26:00
Previous score charted @ 06/16/23 04:54:00
Flagged score charted @ 06/16/23 07:11:00)
[IRF]
 ||Sims RN, Brenda D.||
</v>
      </c>
      <c r="G14" s="27" t="str">
        <f>IF(DATA2!G14 = 0, "", IF(ISBLANK(DATA2!G14),"",IF(ISBLANK(DATA!E14),DATA2!G14,"Flag override " &amp; TEXT(DATA!E14,"mm/dd/yyyy hh:mm"))))</f>
        <v/>
      </c>
      <c r="H14" s="25" t="str">
        <f>IF(DATA!$G14&gt;0,TEXT(DATA!G14,"mm/dd/yyyy hh:mm"),"")</f>
        <v/>
      </c>
      <c r="I14" s="21"/>
    </row>
    <row r="15" spans="1:22" ht="23.25" x14ac:dyDescent="0.25">
      <c r="B15" s="25">
        <f t="shared" si="3"/>
        <v>7</v>
      </c>
      <c r="C15" s="25" t="str">
        <f>IF(NOT(ISBLANK(DATA2!C15)),DATA2!C15,"")</f>
        <v>NNNNNN, Sophia</v>
      </c>
      <c r="D15" s="25">
        <f>IF(NOT(ISBLANK(DATA2!D15)),DATA2!D15,"")</f>
        <v>80808095</v>
      </c>
      <c r="E15" s="26" t="str">
        <f>IF(ISBLANK(DATA2!E15),"",IF(ISBLANK(DATA!C15),DATA2!E15,"Flag override: " &amp; TEXT(DATA!C15, "mm/dd/yyyy hh:mm") ))</f>
        <v/>
      </c>
      <c r="F15" s="27" t="str">
        <f>IF(ISBLANK(DATA2!F15),"",IF(ISBLANK(DATA!D15),DATA2!F15,"Flag override " &amp; TEXT(DATA!D15, "mm/dd/yyyy hh:mm")))</f>
        <v xml:space="preserve">139 minutes elapsed between pain scores while patient has active Epidural Infusion Spine, Lumbar within first 24 hours.
First infusion record charted @ 06/15/23 11:26:00
Previous score charted @ 06/16/23 07:11:00
Flagged score charted @ 06/16/23 09:30:00)
[IRF]
 ||Sims RN, Brenda D.||
</v>
      </c>
      <c r="G15" s="27" t="str">
        <f>IF(DATA2!G15 = 0, "", IF(ISBLANK(DATA2!G15),"",IF(ISBLANK(DATA!E15),DATA2!G15,"Flag override " &amp; TEXT(DATA!E15,"mm/dd/yyyy hh:mm"))))</f>
        <v/>
      </c>
      <c r="H15" s="25" t="str">
        <f>IF(DATA!$G15&gt;0,TEXT(DATA!G15,"mm/dd/yyyy hh:mm"),"")</f>
        <v/>
      </c>
      <c r="I15" s="21"/>
    </row>
    <row r="16" spans="1:22" ht="23.25" x14ac:dyDescent="0.25">
      <c r="B16" s="25">
        <f t="shared" si="3"/>
        <v>8</v>
      </c>
      <c r="C16" s="25" t="str">
        <f>IF(NOT(ISBLANK(DATA2!C16)),DATA2!C16,"")</f>
        <v>NNNNNN, Sophia</v>
      </c>
      <c r="D16" s="25">
        <f>IF(NOT(ISBLANK(DATA2!D16)),DATA2!D16,"")</f>
        <v>80808095</v>
      </c>
      <c r="E16" s="26" t="str">
        <f>IF(ISBLANK(DATA2!E16),"",IF(ISBLANK(DATA!C16),DATA2!E16,"Flag override: " &amp; TEXT(DATA!C16, "mm/dd/yyyy hh:mm") ))</f>
        <v/>
      </c>
      <c r="F16" s="27" t="str">
        <f>IF(ISBLANK(DATA2!F16),"",IF(ISBLANK(DATA!D16),DATA2!F16,"Flag override " &amp; TEXT(DATA!D16, "mm/dd/yyyy hh:mm")))</f>
        <v xml:space="preserve">259 minutes elapsed between pain scores while patient has active Epidural Infusion Spine, Lumbar after the first 24 hours.
First infusion record charted @ 06/15/23 11:26:00
Previous score charted @ 06/16/23 15:16:00
Flagged score charted @ 06/16/23 19:35:00)
[IRF]
 ||Sims RN, Brenda D.||
</v>
      </c>
      <c r="G16" s="27" t="str">
        <f>IF(DATA2!G16 = 0, "", IF(ISBLANK(DATA2!G16),"",IF(ISBLANK(DATA!E16),DATA2!G16,"Flag override " &amp; TEXT(DATA!E16,"mm/dd/yyyy hh:mm"))))</f>
        <v/>
      </c>
      <c r="H16" s="25" t="str">
        <f>IF(DATA!$G16&gt;0,TEXT(DATA!G16,"mm/dd/yyyy hh:mm"),"")</f>
        <v/>
      </c>
      <c r="I16" s="21"/>
    </row>
    <row r="17" spans="2:9" ht="23.25" x14ac:dyDescent="0.25">
      <c r="B17" s="25">
        <f t="shared" si="3"/>
        <v>9</v>
      </c>
      <c r="C17" s="25" t="str">
        <f>IF(NOT(ISBLANK(DATA2!C17)),DATA2!C17,"")</f>
        <v>NNNNNN, Sophia</v>
      </c>
      <c r="D17" s="25">
        <f>IF(NOT(ISBLANK(DATA2!D17)),DATA2!D17,"")</f>
        <v>80808095</v>
      </c>
      <c r="E17" s="26" t="str">
        <f>IF(ISBLANK(DATA2!E17),"",IF(ISBLANK(DATA!C17),DATA2!E17,"Flag override: " &amp; TEXT(DATA!C17, "mm/dd/yyyy hh:mm") ))</f>
        <v/>
      </c>
      <c r="F17" s="27" t="str">
        <f>IF(ISBLANK(DATA2!F17),"",IF(ISBLANK(DATA!D17),DATA2!F17,"Flag override " &amp; TEXT(DATA!D17, "mm/dd/yyyy hh:mm")))</f>
        <v xml:space="preserve">[IRF]
The follow-up pain assessment charted after Epidural Infusion Spine, Lumbar rate/status change charted @ 06/17/23 03:13:00 was 74 minutes late.
The FLACC Revised, Score was due within 75min (60-policy + 15-grace period) but was not charted until 06/17/23 05:42:00 ||Matheny RN, Jennifer||
</v>
      </c>
      <c r="G17" s="27" t="str">
        <f>IF(DATA2!G17 = 0, "", IF(ISBLANK(DATA2!G17),"",IF(ISBLANK(DATA!E17),DATA2!G17,"Flag override " &amp; TEXT(DATA!E17,"mm/dd/yyyy hh:mm"))))</f>
        <v/>
      </c>
      <c r="H17" s="25" t="str">
        <f>IF(DATA!$G17&gt;0,TEXT(DATA!G17,"mm/dd/yyyy hh:mm"),"")</f>
        <v/>
      </c>
      <c r="I17" s="21"/>
    </row>
    <row r="18" spans="2:9" ht="23.25" x14ac:dyDescent="0.25">
      <c r="B18" s="25">
        <f t="shared" si="3"/>
        <v>10</v>
      </c>
      <c r="C18" s="25" t="str">
        <f>IF(NOT(ISBLANK(DATA2!C18)),DATA2!C18,"")</f>
        <v>NNNNNN, Sophia</v>
      </c>
      <c r="D18" s="25">
        <f>IF(NOT(ISBLANK(DATA2!D18)),DATA2!D18,"")</f>
        <v>80808095</v>
      </c>
      <c r="E18" s="26" t="str">
        <f>IF(ISBLANK(DATA2!E18),"",IF(ISBLANK(DATA!C18),DATA2!E18,"Flag override: " &amp; TEXT(DATA!C18, "mm/dd/yyyy hh:mm") ))</f>
        <v/>
      </c>
      <c r="F18" s="27" t="str">
        <f>IF(ISBLANK(DATA2!F18),"",IF(ISBLANK(DATA!D18),DATA2!F18,"Flag override " &amp; TEXT(DATA!D18, "mm/dd/yyyy hh:mm")))</f>
        <v xml:space="preserve">[PRF]
FLACC Revised, Score charted @ 06/17/23 02:48:00 was not charted within 45 min (30-policy + 15-grace period) BEFORE the Oral oxycoDONE charted @ 06/17/23 05:16:00 ||Matheny RN, Jennifer||
</v>
      </c>
      <c r="G18" s="27" t="str">
        <f>IF(DATA2!G18 = 0, "", IF(ISBLANK(DATA2!G18),"",IF(ISBLANK(DATA!E18),DATA2!G18,"Flag override " &amp; TEXT(DATA!E18,"mm/dd/yyyy hh:mm"))))</f>
        <v>The FLACC Revised, Score charted at 06/17/23 02:48:00 = 6
The FLACC Revised, Score charted at 06/17/23 05:42:00 = 9
The Oral oxycoDONE given at 06/17/23 05:16:00 was ineffective.
[Narc]</v>
      </c>
      <c r="H18" s="25" t="str">
        <f>IF(DATA!$G18&gt;0,TEXT(DATA!G18,"mm/dd/yyyy hh:mm"),"")</f>
        <v/>
      </c>
      <c r="I18" s="21"/>
    </row>
    <row r="19" spans="2:9" ht="23.25" x14ac:dyDescent="0.25">
      <c r="B19" s="25">
        <f t="shared" si="3"/>
        <v>11</v>
      </c>
      <c r="C19" s="25" t="str">
        <f>IF(NOT(ISBLANK(DATA2!C19)),DATA2!C19,"")</f>
        <v>NNNNNN, Sophia</v>
      </c>
      <c r="D19" s="25">
        <f>IF(NOT(ISBLANK(DATA2!D19)),DATA2!D19,"")</f>
        <v>80808095</v>
      </c>
      <c r="E19" s="26" t="str">
        <f>IF(ISBLANK(DATA2!E19),"",IF(ISBLANK(DATA!C19),DATA2!E19,"Flag override: " &amp; TEXT(DATA!C19, "mm/dd/yyyy hh:mm") ))</f>
        <v/>
      </c>
      <c r="F19" s="27" t="str">
        <f>IF(ISBLANK(DATA2!F19),"",IF(ISBLANK(DATA!D19),DATA2!F19,"Flag override " &amp; TEXT(DATA!D19, "mm/dd/yyyy hh:mm")))</f>
        <v xml:space="preserve">[PRF]
Verbal Analog Pain Score [0-10] charted @ 06/17/23 11:41:00 was not charted within 45 min (30-policy + 15-grace period) BEFORE the Oral oxycoDONE charted @ 06/17/23 14:29:00 ||Sims RN, Brenda D.||
</v>
      </c>
      <c r="G19" s="27" t="str">
        <f>IF(DATA2!G19 = 0, "", IF(ISBLANK(DATA2!G19),"",IF(ISBLANK(DATA!E19),DATA2!G19,"Flag override " &amp; TEXT(DATA!E19,"mm/dd/yyyy hh:mm"))))</f>
        <v/>
      </c>
      <c r="H19" s="25" t="str">
        <f>IF(DATA!$G19&gt;0,TEXT(DATA!G19,"mm/dd/yyyy hh:mm"),"")</f>
        <v/>
      </c>
      <c r="I19" s="21"/>
    </row>
    <row r="20" spans="2:9" ht="23.25" x14ac:dyDescent="0.25">
      <c r="B20" s="25">
        <f t="shared" si="3"/>
        <v>12</v>
      </c>
      <c r="C20" s="25" t="str">
        <f>IF(NOT(ISBLANK(DATA2!C20)),DATA2!C20,"")</f>
        <v>NNNNNN, Sophia</v>
      </c>
      <c r="D20" s="25">
        <f>IF(NOT(ISBLANK(DATA2!D20)),DATA2!D20,"")</f>
        <v>80808095</v>
      </c>
      <c r="E20" s="26" t="str">
        <f>IF(ISBLANK(DATA2!E20),"",IF(ISBLANK(DATA!C20),DATA2!E20,"Flag override: " &amp; TEXT(DATA!C20, "mm/dd/yyyy hh:mm") ))</f>
        <v/>
      </c>
      <c r="F20" s="27" t="str">
        <f>IF(ISBLANK(DATA2!F20),"",IF(ISBLANK(DATA!D20),DATA2!F20,"Flag override " &amp; TEXT(DATA!D20, "mm/dd/yyyy hh:mm")))</f>
        <v xml:space="preserve">[PRF]
Verbal Analog Pain Score [0-10] charted @ 06/17/23 15:09:00 was not charted within 45 min (30-policy + 15-grace period) BEFORE the Oral oxycoDONE charted @ 06/17/23 18:22:00 ||Sims RN, Brenda D.||
</v>
      </c>
      <c r="G20" s="27" t="str">
        <f>IF(DATA2!G20 = 0, "", IF(ISBLANK(DATA2!G20),"",IF(ISBLANK(DATA!E20),DATA2!G20,"Flag override " &amp; TEXT(DATA!E20,"mm/dd/yyyy hh:mm"))))</f>
        <v>The Verbal Analog Pain Score [0-10] charted at 06/17/23 15:09:00 = 6
The Wong Baker Faces Pain Scale charted at 06/17/23 18:45:00 = 9
The Oral oxycoDONE given at 06/17/23 18:22:00 was ineffective.
[Narc]</v>
      </c>
      <c r="H20" s="25" t="str">
        <f>IF(DATA!$G20&gt;0,TEXT(DATA!G20,"mm/dd/yyyy hh:mm"),"")</f>
        <v/>
      </c>
      <c r="I20" s="21"/>
    </row>
    <row r="21" spans="2:9" ht="23.25" x14ac:dyDescent="0.25">
      <c r="B21" s="25">
        <f t="shared" si="3"/>
        <v>13</v>
      </c>
      <c r="C21" s="25" t="str">
        <f>IF(NOT(ISBLANK(DATA2!C21)),DATA2!C21,"")</f>
        <v>NNNNNN, Sophia</v>
      </c>
      <c r="D21" s="25">
        <f>IF(NOT(ISBLANK(DATA2!D21)),DATA2!D21,"")</f>
        <v>80808095</v>
      </c>
      <c r="E21" s="26" t="str">
        <f>IF(ISBLANK(DATA2!E21),"",IF(ISBLANK(DATA!C21),DATA2!E21,"Flag override: " &amp; TEXT(DATA!C21, "mm/dd/yyyy hh:mm") ))</f>
        <v/>
      </c>
      <c r="F21" s="27" t="str">
        <f>IF(ISBLANK(DATA2!F21),"",IF(ISBLANK(DATA!D21),DATA2!F21,"Flag override " &amp; TEXT(DATA!D21, "mm/dd/yyyy hh:mm")))</f>
        <v xml:space="preserve">[PRF]
Wong Baker Faces Pain Scale charted @ 06/17/23 18:45:00 was not charted within 45 min (30-policy + 15-grace period) BEFORE the Oral oxycoDONE charted @ 06/17/23 22:48:00 ||Sims RN, Brenda D.||
[PRF]
The follow-up pain assessment charted after Oral oxycoDONE charted @ 06/17/23 22:48:00 was 135 minutes late.
The FLACC Revised, Score was due within 75min (60-policy + 15-grace period) but was not charted until 06/18/23 02:18:00 ||Sims RN, Brenda D.||
</v>
      </c>
      <c r="G21" s="27" t="str">
        <f>IF(DATA2!G21 = 0, "", IF(ISBLANK(DATA2!G21),"",IF(ISBLANK(DATA!E21),DATA2!G21,"Flag override " &amp; TEXT(DATA!E21,"mm/dd/yyyy hh:mm"))))</f>
        <v/>
      </c>
      <c r="H21" s="25" t="str">
        <f>IF(DATA!$G21&gt;0,TEXT(DATA!G21,"mm/dd/yyyy hh:mm"),"")</f>
        <v/>
      </c>
      <c r="I21" s="21"/>
    </row>
    <row r="22" spans="2:9" ht="23.25" x14ac:dyDescent="0.25">
      <c r="B22" s="25">
        <f t="shared" si="3"/>
        <v>14</v>
      </c>
      <c r="C22" s="25" t="str">
        <f>IF(NOT(ISBLANK(DATA2!C22)),DATA2!C22,"")</f>
        <v>NNNNNN, Sophia</v>
      </c>
      <c r="D22" s="25">
        <f>IF(NOT(ISBLANK(DATA2!D22)),DATA2!D22,"")</f>
        <v>80808095</v>
      </c>
      <c r="E22" s="26" t="str">
        <f>IF(ISBLANK(DATA2!E22),"",IF(ISBLANK(DATA!C22),DATA2!E22,"Flag override: " &amp; TEXT(DATA!C22, "mm/dd/yyyy hh:mm") ))</f>
        <v/>
      </c>
      <c r="F22" s="27" t="str">
        <f>IF(ISBLANK(DATA2!F22),"",IF(ISBLANK(DATA!D22),DATA2!F22,"Flag override " &amp; TEXT(DATA!D22, "mm/dd/yyyy hh:mm")))</f>
        <v/>
      </c>
      <c r="G22" s="27" t="str">
        <f>IF(DATA2!G22 = 0, "", IF(ISBLANK(DATA2!G22),"",IF(ISBLANK(DATA!E22),DATA2!G22,"Flag override " &amp; TEXT(DATA!E22,"mm/dd/yyyy hh:mm"))))</f>
        <v>The FLACC Revised, Score charted at 06/18/23 02:18:00 = 3
The FLACC Revised, Score charted at 06/18/23 02:59:00 = 5
The Oral oxycoDONE given at 06/18/23 02:31:00 was ineffective.
[Narc]</v>
      </c>
      <c r="H22" s="25" t="str">
        <f>IF(DATA!$G22&gt;0,TEXT(DATA!G22,"mm/dd/yyyy hh:mm"),"")</f>
        <v/>
      </c>
      <c r="I22" s="21"/>
    </row>
    <row r="23" spans="2:9" ht="23.25" x14ac:dyDescent="0.25">
      <c r="B23" s="25">
        <f t="shared" si="3"/>
        <v>15</v>
      </c>
      <c r="C23" s="25" t="str">
        <f>IF(NOT(ISBLANK(DATA2!C23)),DATA2!C23,"")</f>
        <v>NNNNNN, Sophia</v>
      </c>
      <c r="D23" s="25">
        <f>IF(NOT(ISBLANK(DATA2!D23)),DATA2!D23,"")</f>
        <v>80808095</v>
      </c>
      <c r="E23" s="26" t="str">
        <f>IF(ISBLANK(DATA2!E23),"",IF(ISBLANK(DATA!C23),DATA2!E23,"Flag override: " &amp; TEXT(DATA!C23, "mm/dd/yyyy hh:mm") ))</f>
        <v/>
      </c>
      <c r="F23" s="27" t="str">
        <f>IF(ISBLANK(DATA2!F23),"",IF(ISBLANK(DATA!D23),DATA2!F23,"Flag override " &amp; TEXT(DATA!D23, "mm/dd/yyyy hh:mm")))</f>
        <v xml:space="preserve">[PRF]
FLACC Revised, Score charted @ 06/18/23 02:59:00 was not charted within 45 min (30-policy + 15-grace period) BEFORE the Oral oxycoDONE charted @ 06/18/23 06:47:00 ||Rouse BSN, RN, Gabrielle||
</v>
      </c>
      <c r="G23" s="27" t="str">
        <f>IF(DATA2!G23 = 0, "", IF(ISBLANK(DATA2!G23),"",IF(ISBLANK(DATA!E23),DATA2!G23,"Flag override " &amp; TEXT(DATA!E23,"mm/dd/yyyy hh:mm"))))</f>
        <v/>
      </c>
      <c r="H23" s="25" t="str">
        <f>IF(DATA!$G23&gt;0,TEXT(DATA!G23,"mm/dd/yyyy hh:mm"),"")</f>
        <v/>
      </c>
      <c r="I23" s="21"/>
    </row>
    <row r="24" spans="2:9" ht="23.25" x14ac:dyDescent="0.25">
      <c r="B24" s="25">
        <f t="shared" si="3"/>
        <v>16</v>
      </c>
      <c r="C24" s="25" t="str">
        <f>IF(NOT(ISBLANK(DATA2!C24)),DATA2!C24,"")</f>
        <v>LLLLLL, Joseph C</v>
      </c>
      <c r="D24" s="25">
        <f>IF(NOT(ISBLANK(DATA2!D24)),DATA2!D24,"")</f>
        <v>80808144</v>
      </c>
      <c r="E24" s="26" t="str">
        <f>IF(ISBLANK(DATA2!E24),"",IF(ISBLANK(DATA!C24),DATA2!E24,"Flag override: " &amp; TEXT(DATA!C24, "mm/dd/yyyy hh:mm") ))</f>
        <v/>
      </c>
      <c r="F24" s="27" t="str">
        <f>IF(ISBLANK(DATA2!F24),"",IF(ISBLANK(DATA!D24),DATA2!F24,"Flag override " &amp; TEXT(DATA!D24, "mm/dd/yyyy hh:mm")))</f>
        <v xml:space="preserve">[PRF]
The follow-up pain assessment charted after Oral oxycoDONE charted @ 04/01/23 07:51:00 was 106 minutes late.
The Verbal Analog Pain Score [0-10] was due within 75min (60-policy + 15-grace period) but was not charted until 04/01/23 10:52:00 ||Matheny RN, Jennifer||
</v>
      </c>
      <c r="G24" s="27" t="str">
        <f>IF(DATA2!G24 = 0, "", IF(ISBLANK(DATA2!G24),"",IF(ISBLANK(DATA!E24),DATA2!G24,"Flag override " &amp; TEXT(DATA!E24,"mm/dd/yyyy hh:mm"))))</f>
        <v>The Verbal Analog Pain Score [0-10] charted at 04/01/23 07:30:00 = 3
The Verbal Analog Pain Score [0-10] charted at 04/01/23 10:52:00 = 5
The Oral oxycoDONE given at 04/01/23 07:51:00 was ineffective.
[Narc]</v>
      </c>
      <c r="H24" s="25" t="str">
        <f>IF(DATA!$G24&gt;0,TEXT(DATA!G24,"mm/dd/yyyy hh:mm"),"")</f>
        <v/>
      </c>
      <c r="I24" s="21"/>
    </row>
    <row r="25" spans="2:9" ht="23.25" x14ac:dyDescent="0.25">
      <c r="B25" s="25">
        <f t="shared" si="3"/>
        <v>17</v>
      </c>
      <c r="C25" s="25" t="str">
        <f>IF(NOT(ISBLANK(DATA2!C25)),DATA2!C25,"")</f>
        <v>LLLLLL, Joseph C</v>
      </c>
      <c r="D25" s="25">
        <f>IF(NOT(ISBLANK(DATA2!D25)),DATA2!D25,"")</f>
        <v>80808144</v>
      </c>
      <c r="E25" s="26" t="str">
        <f>IF(ISBLANK(DATA2!E25),"",IF(ISBLANK(DATA!C25),DATA2!E25,"Flag override: " &amp; TEXT(DATA!C25, "mm/dd/yyyy hh:mm") ))</f>
        <v/>
      </c>
      <c r="F25" s="27" t="str">
        <f>IF(ISBLANK(DATA2!F25),"",IF(ISBLANK(DATA!D25),DATA2!F25,"Flag override " &amp; TEXT(DATA!D25, "mm/dd/yyyy hh:mm")))</f>
        <v xml:space="preserve">[PRF]
Verbal Analog Pain Score [0-10] charted @ 04/01/23 23:00:00 was not charted within 45 min (30-policy + 15-grace period) BEFORE the Oral oxycoDONE charted @ 04/02/23 06:07:00 ||Linton RN, Chloe B||
</v>
      </c>
      <c r="G25" s="27" t="str">
        <f>IF(DATA2!G25 = 0, "", IF(ISBLANK(DATA2!G25),"",IF(ISBLANK(DATA!E25),DATA2!G25,"Flag override " &amp; TEXT(DATA!E25,"mm/dd/yyyy hh:mm"))))</f>
        <v>The Verbal Analog Pain Score [0-10] charted at 04/01/23 23:00:00 = 5
The Verbal Analog Pain Score [0-10] charted at 04/02/23 06:26:00 = 5
The Oral oxycoDONE given at 04/02/23 06:07:00 was ineffective.
[Narc]</v>
      </c>
      <c r="H25" s="25" t="str">
        <f>IF(DATA!$G25&gt;0,TEXT(DATA!G25,"mm/dd/yyyy hh:mm"),"")</f>
        <v/>
      </c>
      <c r="I25" s="21"/>
    </row>
    <row r="26" spans="2:9" ht="23.25" x14ac:dyDescent="0.25">
      <c r="B26" s="25">
        <f t="shared" si="3"/>
        <v>18</v>
      </c>
      <c r="C26" s="25" t="str">
        <f>IF(NOT(ISBLANK(DATA2!C26)),DATA2!C26,"")</f>
        <v>LLLLLL, Joseph C</v>
      </c>
      <c r="D26" s="25">
        <f>IF(NOT(ISBLANK(DATA2!D26)),DATA2!D26,"")</f>
        <v>80808144</v>
      </c>
      <c r="E26" s="26" t="str">
        <f>IF(ISBLANK(DATA2!E26),"",IF(ISBLANK(DATA!C26),DATA2!E26,"Flag override: " &amp; TEXT(DATA!C26, "mm/dd/yyyy hh:mm") ))</f>
        <v/>
      </c>
      <c r="F26" s="27" t="str">
        <f>IF(ISBLANK(DATA2!F26),"",IF(ISBLANK(DATA!D26),DATA2!F26,"Flag override " &amp; TEXT(DATA!D26, "mm/dd/yyyy hh:mm")))</f>
        <v xml:space="preserve">[PRF]
Verbal Analog Pain Score [0-10] charted @ 04/02/23 10:53:00 was not charted within 45 min (30-policy + 15-grace period) BEFORE the Oral oxycoDONE charted @ 04/02/23 14:06:00 ||Sims RN, Brenda D.||
</v>
      </c>
      <c r="G26" s="27" t="str">
        <f>IF(DATA2!G26 = 0, "", IF(ISBLANK(DATA2!G26),"",IF(ISBLANK(DATA!E26),DATA2!G26,"Flag override " &amp; TEXT(DATA!E26,"mm/dd/yyyy hh:mm"))))</f>
        <v/>
      </c>
      <c r="H26" s="25" t="str">
        <f>IF(DATA!$G26&gt;0,TEXT(DATA!G26,"mm/dd/yyyy hh:mm"),"")</f>
        <v/>
      </c>
      <c r="I26" s="21"/>
    </row>
    <row r="27" spans="2:9" ht="23.25" x14ac:dyDescent="0.25">
      <c r="B27" s="25">
        <f t="shared" si="3"/>
        <v>19</v>
      </c>
      <c r="C27" s="25" t="str">
        <f>IF(NOT(ISBLANK(DATA2!C27)),DATA2!C27,"")</f>
        <v>LLLLLL, Joseph C</v>
      </c>
      <c r="D27" s="25">
        <f>IF(NOT(ISBLANK(DATA2!D27)),DATA2!D27,"")</f>
        <v>80808144</v>
      </c>
      <c r="E27" s="26" t="str">
        <f>IF(ISBLANK(DATA2!E27),"",IF(ISBLANK(DATA!C27),DATA2!E27,"Flag override: " &amp; TEXT(DATA!C27, "mm/dd/yyyy hh:mm") ))</f>
        <v/>
      </c>
      <c r="F27" s="27" t="str">
        <f>IF(ISBLANK(DATA2!F27),"",IF(ISBLANK(DATA!D27),DATA2!F27,"Flag override " &amp; TEXT(DATA!D27, "mm/dd/yyyy hh:mm")))</f>
        <v xml:space="preserve">814 minutes elapsed between pain scores, exceeding the 12-hr per-shift limit 
Previous score charted @ 04/04/23 18:06:00
Flagged score charted @ 04/05/23 07:40:00)
 ||Kuhn RN, Melissa||
</v>
      </c>
      <c r="G27" s="27" t="str">
        <f>IF(DATA2!G27 = 0, "", IF(ISBLANK(DATA2!G27),"",IF(ISBLANK(DATA!E27),DATA2!G27,"Flag override " &amp; TEXT(DATA!E27,"mm/dd/yyyy hh:mm"))))</f>
        <v/>
      </c>
      <c r="H27" s="25" t="str">
        <f>IF(DATA!$G27&gt;0,TEXT(DATA!G27,"mm/dd/yyyy hh:mm"),"")</f>
        <v/>
      </c>
      <c r="I27" s="21"/>
    </row>
    <row r="28" spans="2:9" ht="23.25" x14ac:dyDescent="0.25">
      <c r="B28" s="25">
        <f t="shared" si="3"/>
        <v>20</v>
      </c>
      <c r="C28" s="25" t="str">
        <f>IF(NOT(ISBLANK(DATA2!C28)),DATA2!C28,"")</f>
        <v>LLLLLL, Joseph C</v>
      </c>
      <c r="D28" s="25">
        <f>IF(NOT(ISBLANK(DATA2!D28)),DATA2!D28,"")</f>
        <v>80808144</v>
      </c>
      <c r="E28" s="26" t="str">
        <f>IF(ISBLANK(DATA2!E28),"",IF(ISBLANK(DATA!C28),DATA2!E28,"Flag override: " &amp; TEXT(DATA!C28, "mm/dd/yyyy hh:mm") ))</f>
        <v/>
      </c>
      <c r="F28" s="27" t="str">
        <f>IF(ISBLANK(DATA2!F28),"",IF(ISBLANK(DATA!D28),DATA2!F28,"Flag override " &amp; TEXT(DATA!D28, "mm/dd/yyyy hh:mm")))</f>
        <v xml:space="preserve">[PRF]
FLACC Revised, Score charted @ 04/06/23 07:49:00 was not charted within 45 min (30-policy + 15-grace period) BEFORE the Oral ibuprofen charted @ 04/06/23 08:40:00 ||Brevik RN, Sierra||
</v>
      </c>
      <c r="G28" s="27" t="str">
        <f>IF(DATA2!G28 = 0, "", IF(ISBLANK(DATA2!G28),"",IF(ISBLANK(DATA!E28),DATA2!G28,"Flag override " &amp; TEXT(DATA!E28,"mm/dd/yyyy hh:mm"))))</f>
        <v/>
      </c>
      <c r="H28" s="25" t="str">
        <f>IF(DATA!$G28&gt;0,TEXT(DATA!G28,"mm/dd/yyyy hh:mm"),"")</f>
        <v/>
      </c>
      <c r="I28" s="21"/>
    </row>
    <row r="29" spans="2:9" ht="23.25" x14ac:dyDescent="0.25">
      <c r="B29" s="25">
        <f t="shared" si="3"/>
        <v>21</v>
      </c>
      <c r="C29" s="25" t="str">
        <f>IF(NOT(ISBLANK(DATA2!C29)),DATA2!C29,"")</f>
        <v>LLLLLL, Joseph C</v>
      </c>
      <c r="D29" s="25">
        <f>IF(NOT(ISBLANK(DATA2!D29)),DATA2!D29,"")</f>
        <v>80808144</v>
      </c>
      <c r="E29" s="26" t="str">
        <f>IF(ISBLANK(DATA2!E29),"",IF(ISBLANK(DATA!C29),DATA2!E29,"Flag override: " &amp; TEXT(DATA!C29, "mm/dd/yyyy hh:mm") ))</f>
        <v/>
      </c>
      <c r="F29" s="27" t="str">
        <f>IF(ISBLANK(DATA2!F29),"",IF(ISBLANK(DATA!D29),DATA2!F29,"Flag override " &amp; TEXT(DATA!D29, "mm/dd/yyyy hh:mm")))</f>
        <v xml:space="preserve">[PRF]
FLACC Revised, Score charted @ 04/06/23 11:46:00 was not charted within 45 min (30-policy + 15-grace period) BEFORE the Oral ibuprofen charted @ 04/06/23 16:52:00 ||Brevik RN, Sierra||
</v>
      </c>
      <c r="G29" s="27" t="str">
        <f>IF(DATA2!G29 = 0, "", IF(ISBLANK(DATA2!G29),"",IF(ISBLANK(DATA!E29),DATA2!G29,"Flag override " &amp; TEXT(DATA!E29,"mm/dd/yyyy hh:mm"))))</f>
        <v/>
      </c>
      <c r="H29" s="25" t="str">
        <f>IF(DATA!$G29&gt;0,TEXT(DATA!G29,"mm/dd/yyyy hh:mm"),"")</f>
        <v/>
      </c>
      <c r="I29" s="21"/>
    </row>
    <row r="30" spans="2:9" ht="23.25" x14ac:dyDescent="0.25">
      <c r="B30" s="25">
        <f t="shared" si="3"/>
        <v>22</v>
      </c>
      <c r="C30" s="25" t="str">
        <f>IF(NOT(ISBLANK(DATA2!C30)),DATA2!C30,"")</f>
        <v>LLLLLL, Joseph C</v>
      </c>
      <c r="D30" s="25">
        <f>IF(NOT(ISBLANK(DATA2!D30)),DATA2!D30,"")</f>
        <v>80808144</v>
      </c>
      <c r="E30" s="26" t="str">
        <f>IF(ISBLANK(DATA2!E30),"",IF(ISBLANK(DATA!C30),DATA2!E30,"Flag override: " &amp; TEXT(DATA!C30, "mm/dd/yyyy hh:mm") ))</f>
        <v/>
      </c>
      <c r="F30" s="27" t="str">
        <f>IF(ISBLANK(DATA2!F30),"",IF(ISBLANK(DATA!D30),DATA2!F30,"Flag override " &amp; TEXT(DATA!D30, "mm/dd/yyyy hh:mm")))</f>
        <v xml:space="preserve">[PRF]
Verbal Analog Pain Score [0-10] charted @ 04/11/23 08:14:00 was not charted within 45 min (30-policy + 15-grace period) BEFORE the Oral acetaminophen charted @ 04/11/23 09:34:00 ||Herrera RN, Tenaha||
[PRF]
The follow-up pain assessment charted after Oral acetaminophen charted @ 04/11/23 09:34:00 was 2 minutes late.
The Verbal Analog Pain Score [0-10] was due within 75min (60-policy + 15-grace period) but was not charted until 04/11/23 10:51:00 ||Herrera RN, Tenaha||
</v>
      </c>
      <c r="G30" s="27" t="str">
        <f>IF(DATA2!G30 = 0, "", IF(ISBLANK(DATA2!G30),"",IF(ISBLANK(DATA!E30),DATA2!G30,"Flag override " &amp; TEXT(DATA!E30,"mm/dd/yyyy hh:mm"))))</f>
        <v>The Verbal Analog Pain Score [0-10] charted at 04/11/23 08:14:00 = 3
The Verbal Analog Pain Score [0-10] charted at 04/11/23 10:51:00 = 3
The Oral acetaminophen given at 04/11/23 09:34:00 was ineffective.
[Non-Narc]</v>
      </c>
      <c r="H30" s="25" t="str">
        <f>IF(DATA!$G30&gt;0,TEXT(DATA!G30,"mm/dd/yyyy hh:mm"),"")</f>
        <v/>
      </c>
      <c r="I30" s="21"/>
    </row>
    <row r="31" spans="2:9" ht="23.25" x14ac:dyDescent="0.25">
      <c r="B31" s="25">
        <f t="shared" si="3"/>
        <v>23</v>
      </c>
      <c r="C31" s="25" t="str">
        <f>IF(NOT(ISBLANK(DATA2!C31)),DATA2!C31,"")</f>
        <v>LLLLLL, Joseph C</v>
      </c>
      <c r="D31" s="25">
        <f>IF(NOT(ISBLANK(DATA2!D31)),DATA2!D31,"")</f>
        <v>80808144</v>
      </c>
      <c r="E31" s="26" t="str">
        <f>IF(ISBLANK(DATA2!E31),"",IF(ISBLANK(DATA!C31),DATA2!E31,"Flag override: " &amp; TEXT(DATA!C31, "mm/dd/yyyy hh:mm") ))</f>
        <v/>
      </c>
      <c r="F31" s="27" t="str">
        <f>IF(ISBLANK(DATA2!F31),"",IF(ISBLANK(DATA!D31),DATA2!F31,"Flag override " &amp; TEXT(DATA!D31, "mm/dd/yyyy hh:mm")))</f>
        <v xml:space="preserve">[PRF]
Verbal Analog Pain Score [0-10] charted @ 04/12/23 15:25:00 was not charted within 45 min (30-policy + 15-grace period) BEFORE the Oral acetaminophen charted @ 04/12/23 18:53:00 ||Sims RN, Brenda D.||
</v>
      </c>
      <c r="G31" s="27" t="str">
        <f>IF(DATA2!G31 = 0, "", IF(ISBLANK(DATA2!G31),"",IF(ISBLANK(DATA!E31),DATA2!G31,"Flag override " &amp; TEXT(DATA!E31,"mm/dd/yyyy hh:mm"))))</f>
        <v/>
      </c>
      <c r="H31" s="25" t="str">
        <f>IF(DATA!$G31&gt;0,TEXT(DATA!G31,"mm/dd/yyyy hh:mm"),"")</f>
        <v/>
      </c>
      <c r="I31" s="21"/>
    </row>
    <row r="32" spans="2:9" ht="23.25" x14ac:dyDescent="0.25">
      <c r="B32" s="25">
        <f t="shared" si="3"/>
        <v>24</v>
      </c>
      <c r="C32" s="25" t="str">
        <f>IF(NOT(ISBLANK(DATA2!C32)),DATA2!C32,"")</f>
        <v>LLLLLL, Joseph C</v>
      </c>
      <c r="D32" s="25">
        <f>IF(NOT(ISBLANK(DATA2!D32)),DATA2!D32,"")</f>
        <v>80808144</v>
      </c>
      <c r="E32" s="26" t="str">
        <f>IF(ISBLANK(DATA2!E32),"",IF(ISBLANK(DATA!C32),DATA2!E32,"Flag override: " &amp; TEXT(DATA!C32, "mm/dd/yyyy hh:mm") ))</f>
        <v/>
      </c>
      <c r="F32" s="27" t="str">
        <f>IF(ISBLANK(DATA2!F32),"",IF(ISBLANK(DATA!D32),DATA2!F32,"Flag override " &amp; TEXT(DATA!D32, "mm/dd/yyyy hh:mm")))</f>
        <v xml:space="preserve">818 minutes elapsed between pain scores, exceeding the 12-hr per-shift limit 
Previous score charted @ 04/15/23 07:22:00
Flagged score charted @ 04/15/23 21:00:00)
 ||Race RN, Brenda||
</v>
      </c>
      <c r="G32" s="27" t="str">
        <f>IF(DATA2!G32 = 0, "", IF(ISBLANK(DATA2!G32),"",IF(ISBLANK(DATA!E32),DATA2!G32,"Flag override " &amp; TEXT(DATA!E32,"mm/dd/yyyy hh:mm"))))</f>
        <v/>
      </c>
      <c r="H32" s="25" t="str">
        <f>IF(DATA!$G32&gt;0,TEXT(DATA!G32,"mm/dd/yyyy hh:mm"),"")</f>
        <v/>
      </c>
      <c r="I32" s="21"/>
    </row>
    <row r="33" spans="2:9" ht="23.25" x14ac:dyDescent="0.25">
      <c r="B33" s="25">
        <f t="shared" si="3"/>
        <v>25</v>
      </c>
      <c r="C33" s="25" t="str">
        <f>IF(NOT(ISBLANK(DATA2!C33)),DATA2!C33,"")</f>
        <v>LLLLLL, Joseph C</v>
      </c>
      <c r="D33" s="25">
        <f>IF(NOT(ISBLANK(DATA2!D33)),DATA2!D33,"")</f>
        <v>80808144</v>
      </c>
      <c r="E33" s="26" t="str">
        <f>IF(ISBLANK(DATA2!E33),"",IF(ISBLANK(DATA!C33),DATA2!E33,"Flag override: " &amp; TEXT(DATA!C33, "mm/dd/yyyy hh:mm") ))</f>
        <v/>
      </c>
      <c r="F33" s="27" t="str">
        <f>IF(ISBLANK(DATA2!F33),"",IF(ISBLANK(DATA!D33),DATA2!F33,"Flag override " &amp; TEXT(DATA!D33, "mm/dd/yyyy hh:mm")))</f>
        <v xml:space="preserve">1485 minutes elapsed between pain scores, exceeding the 12-hr per-shift limit 
Previous score charted @ 04/16/23 19:30:00
Flagged score charted @ 04/17/23 20:15:00)
 ||Adams RN, Kanani E||
</v>
      </c>
      <c r="G33" s="27" t="str">
        <f>IF(DATA2!G33 = 0, "", IF(ISBLANK(DATA2!G33),"",IF(ISBLANK(DATA!E33),DATA2!G33,"Flag override " &amp; TEXT(DATA!E33,"mm/dd/yyyy hh:mm"))))</f>
        <v/>
      </c>
      <c r="H33" s="25" t="str">
        <f>IF(DATA!$G33&gt;0,TEXT(DATA!G33,"mm/dd/yyyy hh:mm"),"")</f>
        <v/>
      </c>
      <c r="I33" s="21"/>
    </row>
    <row r="34" spans="2:9" ht="23.25" x14ac:dyDescent="0.25">
      <c r="B34" s="25">
        <f t="shared" si="3"/>
        <v>26</v>
      </c>
      <c r="C34" s="25" t="str">
        <f>IF(NOT(ISBLANK(DATA2!C34)),DATA2!C34,"")</f>
        <v>LLLLLL, Joseph C</v>
      </c>
      <c r="D34" s="25">
        <f>IF(NOT(ISBLANK(DATA2!D34)),DATA2!D34,"")</f>
        <v>80808144</v>
      </c>
      <c r="E34" s="26" t="str">
        <f>IF(ISBLANK(DATA2!E34),"",IF(ISBLANK(DATA!C34),DATA2!E34,"Flag override: " &amp; TEXT(DATA!C34, "mm/dd/yyyy hh:mm") ))</f>
        <v/>
      </c>
      <c r="F34" s="27" t="str">
        <f>IF(ISBLANK(DATA2!F34),"",IF(ISBLANK(DATA!D34),DATA2!F34,"Flag override " &amp; TEXT(DATA!D34, "mm/dd/yyyy hh:mm")))</f>
        <v xml:space="preserve">[PRF]
Verbal Analog Pain Score [0-10] charted @ 04/17/23 20:15:00 was not charted within 45 min (30-policy + 15-grace period) BEFORE the Oral oxycoDONE charted @ 04/17/23 22:14:00 ||Adams RN, Kanani E||
[PRF]
The follow-up pain assessment charted after Oral oxycoDONE charted @ 04/17/23 22:14:00 was 43 minutes late.
The Verbal Analog Pain Score [0-10] was due within 75min (60-policy + 15-grace period) but was not charted until 04/18/23 00:12:00 ||Adams RN, Kanani E||
</v>
      </c>
      <c r="G34" s="27" t="str">
        <f>IF(DATA2!G34 = 0, "", IF(ISBLANK(DATA2!G34),"",IF(ISBLANK(DATA!E34),DATA2!G34,"Flag override " &amp; TEXT(DATA!E34,"mm/dd/yyyy hh:mm"))))</f>
        <v/>
      </c>
      <c r="H34" s="25" t="str">
        <f>IF(DATA!$G34&gt;0,TEXT(DATA!G34,"mm/dd/yyyy hh:mm"),"")</f>
        <v/>
      </c>
      <c r="I34" s="21"/>
    </row>
    <row r="35" spans="2:9" ht="23.25" x14ac:dyDescent="0.25">
      <c r="B35" s="25">
        <f t="shared" si="3"/>
        <v>27</v>
      </c>
      <c r="C35" s="25" t="str">
        <f>IF(NOT(ISBLANK(DATA2!C35)),DATA2!C35,"")</f>
        <v>LLLLLL, Joseph C</v>
      </c>
      <c r="D35" s="25">
        <f>IF(NOT(ISBLANK(DATA2!D35)),DATA2!D35,"")</f>
        <v>80808144</v>
      </c>
      <c r="E35" s="26" t="str">
        <f>IF(ISBLANK(DATA2!E35),"",IF(ISBLANK(DATA!C35),DATA2!E35,"Flag override: " &amp; TEXT(DATA!C35, "mm/dd/yyyy hh:mm") ))</f>
        <v/>
      </c>
      <c r="F35" s="27" t="str">
        <f>IF(ISBLANK(DATA2!F35),"",IF(ISBLANK(DATA!D35),DATA2!F35,"Flag override " &amp; TEXT(DATA!D35, "mm/dd/yyyy hh:mm")))</f>
        <v xml:space="preserve">[PRF]
Verbal Analog Pain Score [0-10] charted @ 04/18/23 00:12:00 was not charted within 45 min (30-policy + 15-grace period) BEFORE the Oral oxycoDONE charted @ 04/18/23 07:56:00 ||Matheny RN, Jennifer||
[PRF]
The follow-up pain assessment charted after Oral oxycoDONE charted @ 04/18/23 07:56:00 was 529 minutes late.
The FLACC Revised, Score was due within 75min (60-policy + 15-grace period) but was not charted until 04/18/23 18:00:00 ||Matheny RN, Jennifer||
</v>
      </c>
      <c r="G35" s="27" t="str">
        <f>IF(DATA2!G35 = 0, "", IF(ISBLANK(DATA2!G35),"",IF(ISBLANK(DATA!E35),DATA2!G35,"Flag override " &amp; TEXT(DATA!E35,"mm/dd/yyyy hh:mm"))))</f>
        <v/>
      </c>
      <c r="H35" s="25" t="str">
        <f>IF(DATA!$G35&gt;0,TEXT(DATA!G35,"mm/dd/yyyy hh:mm"),"")</f>
        <v/>
      </c>
      <c r="I35" s="21"/>
    </row>
    <row r="36" spans="2:9" ht="23.25" x14ac:dyDescent="0.25">
      <c r="B36" s="25">
        <f t="shared" si="3"/>
        <v>28</v>
      </c>
      <c r="C36" s="25" t="str">
        <f>IF(NOT(ISBLANK(DATA2!C36)),DATA2!C36,"")</f>
        <v>LLLLLL, Joseph C</v>
      </c>
      <c r="D36" s="25">
        <f>IF(NOT(ISBLANK(DATA2!D36)),DATA2!D36,"")</f>
        <v>80808144</v>
      </c>
      <c r="E36" s="26" t="str">
        <f>IF(ISBLANK(DATA2!E36),"",IF(ISBLANK(DATA!C36),DATA2!E36,"Flag override: " &amp; TEXT(DATA!C36, "mm/dd/yyyy hh:mm") ))</f>
        <v/>
      </c>
      <c r="F36" s="27" t="str">
        <f>IF(ISBLANK(DATA2!F36),"",IF(ISBLANK(DATA!D36),DATA2!F36,"Flag override " &amp; TEXT(DATA!D36, "mm/dd/yyyy hh:mm")))</f>
        <v xml:space="preserve">[PRF]
Verbal Analog Pain Score [0-10] charted @ 04/18/23 00:12:00 was not charted within 45 min (30-policy + 15-grace period) BEFORE the Oral oxycoDONE charted @ 04/18/23 15:24:00 ||Matheny RN, Jennifer||
[PRF]
The follow-up pain assessment charted after Oral oxycoDONE charted @ 04/18/23 15:24:00 was 81 minutes late.
The FLACC Revised, Score was due within 75min (60-policy + 15-grace period) but was not charted until 04/18/23 18:00:00 ||Matheny RN, Jennifer||
</v>
      </c>
      <c r="G36" s="27" t="str">
        <f>IF(DATA2!G36 = 0, "", IF(ISBLANK(DATA2!G36),"",IF(ISBLANK(DATA!E36),DATA2!G36,"Flag override " &amp; TEXT(DATA!E36,"mm/dd/yyyy hh:mm"))))</f>
        <v/>
      </c>
      <c r="H36" s="25" t="str">
        <f>IF(DATA!$G36&gt;0,TEXT(DATA!G36,"mm/dd/yyyy hh:mm"),"")</f>
        <v/>
      </c>
      <c r="I36" s="21"/>
    </row>
    <row r="37" spans="2:9" ht="23.25" x14ac:dyDescent="0.25">
      <c r="B37" s="25">
        <f t="shared" si="3"/>
        <v>29</v>
      </c>
      <c r="C37" s="25" t="str">
        <f>IF(NOT(ISBLANK(DATA2!C37)),DATA2!C37,"")</f>
        <v>LLLLLL, Joseph C</v>
      </c>
      <c r="D37" s="25">
        <f>IF(NOT(ISBLANK(DATA2!D37)),DATA2!D37,"")</f>
        <v>80808144</v>
      </c>
      <c r="E37" s="26" t="str">
        <f>IF(ISBLANK(DATA2!E37),"",IF(ISBLANK(DATA!C37),DATA2!E37,"Flag override: " &amp; TEXT(DATA!C37, "mm/dd/yyyy hh:mm") ))</f>
        <v/>
      </c>
      <c r="F37" s="27" t="str">
        <f>IF(ISBLANK(DATA2!F37),"",IF(ISBLANK(DATA!D37),DATA2!F37,"Flag override " &amp; TEXT(DATA!D37, "mm/dd/yyyy hh:mm")))</f>
        <v xml:space="preserve">1068 minutes elapsed between pain scores, exceeding the 12-hr per-shift limit 
Previous score charted @ 04/18/23 00:12:00
Flagged score charted @ 04/18/23 18:00:00)
 ||May RN, Caroline||
</v>
      </c>
      <c r="G37" s="27" t="str">
        <f>IF(DATA2!G37 = 0, "", IF(ISBLANK(DATA2!G37),"",IF(ISBLANK(DATA!E37),DATA2!G37,"Flag override " &amp; TEXT(DATA!E37,"mm/dd/yyyy hh:mm"))))</f>
        <v/>
      </c>
      <c r="H37" s="25" t="str">
        <f>IF(DATA!$G37&gt;0,TEXT(DATA!G37,"mm/dd/yyyy hh:mm"),"")</f>
        <v/>
      </c>
      <c r="I37" s="21"/>
    </row>
    <row r="38" spans="2:9" ht="23.25" x14ac:dyDescent="0.25">
      <c r="B38" s="25">
        <f t="shared" si="3"/>
        <v>30</v>
      </c>
      <c r="C38" s="25" t="str">
        <f>IF(NOT(ISBLANK(DATA2!C38)),DATA2!C38,"")</f>
        <v>LLLLLL, Joseph C</v>
      </c>
      <c r="D38" s="25">
        <f>IF(NOT(ISBLANK(DATA2!D38)),DATA2!D38,"")</f>
        <v>80808144</v>
      </c>
      <c r="E38" s="26" t="str">
        <f>IF(ISBLANK(DATA2!E38),"",IF(ISBLANK(DATA!C38),DATA2!E38,"Flag override: " &amp; TEXT(DATA!C38, "mm/dd/yyyy hh:mm") ))</f>
        <v/>
      </c>
      <c r="F38" s="27" t="str">
        <f>IF(ISBLANK(DATA2!F38),"",IF(ISBLANK(DATA!D38),DATA2!F38,"Flag override " &amp; TEXT(DATA!D38, "mm/dd/yyyy hh:mm")))</f>
        <v xml:space="preserve">[PRF]
Verbal Analog Pain Score [0-10] charted @ 04/19/23 06:50:00 was not charted within 45 min (30-policy + 15-grace period) BEFORE the Oral acetaminophen charted @ 04/19/23 12:51:00 ||Brevik RN, Sierra||
</v>
      </c>
      <c r="G38" s="27" t="str">
        <f>IF(DATA2!G38 = 0, "", IF(ISBLANK(DATA2!G38),"",IF(ISBLANK(DATA!E38),DATA2!G38,"Flag override " &amp; TEXT(DATA!E38,"mm/dd/yyyy hh:mm"))))</f>
        <v>The Verbal Analog Pain Score [0-10] charted at 04/19/23 06:50:00 = 4
The Verbal Analog Pain Score [0-10] charted at 04/19/23 13:08:00 = 4
The Oral acetaminophen given at 04/19/23 12:51:00 was ineffective.
[Non-Narc]</v>
      </c>
      <c r="H38" s="25" t="str">
        <f>IF(DATA!$G38&gt;0,TEXT(DATA!G38,"mm/dd/yyyy hh:mm"),"")</f>
        <v/>
      </c>
      <c r="I38" s="21"/>
    </row>
    <row r="39" spans="2:9" ht="23.25" x14ac:dyDescent="0.25">
      <c r="B39" s="25">
        <f t="shared" si="3"/>
        <v>31</v>
      </c>
      <c r="C39" s="25" t="str">
        <f>IF(NOT(ISBLANK(DATA2!C39)),DATA2!C39,"")</f>
        <v>LLLLLL, Joseph C</v>
      </c>
      <c r="D39" s="25">
        <f>IF(NOT(ISBLANK(DATA2!D39)),DATA2!D39,"")</f>
        <v>80808144</v>
      </c>
      <c r="E39" s="26" t="str">
        <f>IF(ISBLANK(DATA2!E39),"",IF(ISBLANK(DATA!C39),DATA2!E39,"Flag override: " &amp; TEXT(DATA!C39, "mm/dd/yyyy hh:mm") ))</f>
        <v/>
      </c>
      <c r="F39" s="27" t="str">
        <f>IF(ISBLANK(DATA2!F39),"",IF(ISBLANK(DATA!D39),DATA2!F39,"Flag override " &amp; TEXT(DATA!D39, "mm/dd/yyyy hh:mm")))</f>
        <v xml:space="preserve">[PRF]
FLACC Revised, Score charted @ 04/19/23 13:43:00 was not charted within 45 min (30-policy + 15-grace period) BEFORE the IV ketorolac charted @ 04/19/23 15:24:00 ||Brevik RN, Sierra||
[PRF]
The follow-up pain assessment charted after IV ketorolac charted @ 04/19/23 15:24:00 was 129 minutes late.
The FLACC Revised, Score was due within 45min (30-policy + 15-grace period) but was not charted until 04/19/23 18:18:00 ||Brevik RN, Sierra||
</v>
      </c>
      <c r="G39" s="27" t="str">
        <f>IF(DATA2!G39 = 0, "", IF(ISBLANK(DATA2!G39),"",IF(ISBLANK(DATA!E39),DATA2!G39,"Flag override " &amp; TEXT(DATA!E39,"mm/dd/yyyy hh:mm"))))</f>
        <v/>
      </c>
      <c r="H39" s="25" t="str">
        <f>IF(DATA!$G39&gt;0,TEXT(DATA!G39,"mm/dd/yyyy hh:mm"),"")</f>
        <v/>
      </c>
      <c r="I39" s="21"/>
    </row>
    <row r="40" spans="2:9" ht="23.25" x14ac:dyDescent="0.25">
      <c r="B40" s="25">
        <f t="shared" si="3"/>
        <v>32</v>
      </c>
      <c r="C40" s="25" t="str">
        <f>IF(NOT(ISBLANK(DATA2!C40)),DATA2!C40,"")</f>
        <v>LLLLLL, Joseph C</v>
      </c>
      <c r="D40" s="25">
        <f>IF(NOT(ISBLANK(DATA2!D40)),DATA2!D40,"")</f>
        <v>80808144</v>
      </c>
      <c r="E40" s="26" t="str">
        <f>IF(ISBLANK(DATA2!E40),"",IF(ISBLANK(DATA!C40),DATA2!E40,"Flag override: " &amp; TEXT(DATA!C40, "mm/dd/yyyy hh:mm") ))</f>
        <v/>
      </c>
      <c r="F40" s="27" t="str">
        <f>IF(ISBLANK(DATA2!F40),"",IF(ISBLANK(DATA!D40),DATA2!F40,"Flag override " &amp; TEXT(DATA!D40, "mm/dd/yyyy hh:mm")))</f>
        <v xml:space="preserve">[PRF]
The follow-up pain assessment charted after IV ketorolac charted @ 04/19/23 21:30:00 was 536 minutes late.
The FLACC Revised, Score was due within 45min (30-policy + 15-grace period) but was not charted until 04/20/23 07:11:00 ||Sims RN, Brenda D.||
</v>
      </c>
      <c r="G40" s="27" t="str">
        <f>IF(DATA2!G40 = 0, "", IF(ISBLANK(DATA2!G40),"",IF(ISBLANK(DATA!E40),DATA2!G40,"Flag override " &amp; TEXT(DATA!E40,"mm/dd/yyyy hh:mm"))))</f>
        <v/>
      </c>
      <c r="H40" s="25" t="str">
        <f>IF(DATA!$G40&gt;0,TEXT(DATA!G40,"mm/dd/yyyy hh:mm"),"")</f>
        <v/>
      </c>
      <c r="I40" s="21"/>
    </row>
    <row r="41" spans="2:9" ht="23.25" x14ac:dyDescent="0.25">
      <c r="B41" s="25">
        <f t="shared" si="3"/>
        <v>33</v>
      </c>
      <c r="C41" s="25" t="str">
        <f>IF(NOT(ISBLANK(DATA2!C41)),DATA2!C41,"")</f>
        <v>LLLLLL, Joseph C</v>
      </c>
      <c r="D41" s="25">
        <f>IF(NOT(ISBLANK(DATA2!D41)),DATA2!D41,"")</f>
        <v>80808144</v>
      </c>
      <c r="E41" s="26" t="str">
        <f>IF(ISBLANK(DATA2!E41),"",IF(ISBLANK(DATA!C41),DATA2!E41,"Flag override: " &amp; TEXT(DATA!C41, "mm/dd/yyyy hh:mm") ))</f>
        <v/>
      </c>
      <c r="F41" s="27" t="str">
        <f>IF(ISBLANK(DATA2!F41),"",IF(ISBLANK(DATA!D41),DATA2!F41,"Flag override " &amp; TEXT(DATA!D41, "mm/dd/yyyy hh:mm")))</f>
        <v xml:space="preserve">[PRF]
FLACC Revised, Score charted @ 04/20/23 07:11:00 was not charted within 45 min (30-policy + 15-grace period) BEFORE the IV ketorolac charted @ 04/20/23 08:00:00 ||Brevik RN, Sierra||
[PRF]
The follow-up pain assessment charted after IV ketorolac charted @ 04/20/23 08:00:00 was 26 minutes late.
The FLACC Revised, Score was due within 45min (30-policy + 15-grace period) but was not charted until 04/20/23 09:11:00 ||Brevik RN, Sierra||
</v>
      </c>
      <c r="G41" s="27" t="str">
        <f>IF(DATA2!G41 = 0, "", IF(ISBLANK(DATA2!G41),"",IF(ISBLANK(DATA!E41),DATA2!G41,"Flag override " &amp; TEXT(DATA!E41,"mm/dd/yyyy hh:mm"))))</f>
        <v/>
      </c>
      <c r="H41" s="25" t="str">
        <f>IF(DATA!$G41&gt;0,TEXT(DATA!G41,"mm/dd/yyyy hh:mm"),"")</f>
        <v/>
      </c>
      <c r="I41" s="21"/>
    </row>
    <row r="42" spans="2:9" ht="23.25" x14ac:dyDescent="0.25">
      <c r="B42" s="25">
        <f t="shared" si="3"/>
        <v>34</v>
      </c>
      <c r="C42" s="25" t="str">
        <f>IF(NOT(ISBLANK(DATA2!C42)),DATA2!C42,"")</f>
        <v>LLLLLL, Joseph C</v>
      </c>
      <c r="D42" s="25">
        <f>IF(NOT(ISBLANK(DATA2!D42)),DATA2!D42,"")</f>
        <v>80808144</v>
      </c>
      <c r="E42" s="26" t="str">
        <f>IF(ISBLANK(DATA2!E42),"",IF(ISBLANK(DATA!C42),DATA2!E42,"Flag override: " &amp; TEXT(DATA!C42, "mm/dd/yyyy hh:mm") ))</f>
        <v/>
      </c>
      <c r="F42" s="27" t="str">
        <f>IF(ISBLANK(DATA2!F42),"",IF(ISBLANK(DATA!D42),DATA2!F42,"Flag override " &amp; TEXT(DATA!D42, "mm/dd/yyyy hh:mm")))</f>
        <v xml:space="preserve">[PRF]
The follow-up pain assessment charted after Oral oxycoDONE charted @ 04/20/23 10:34:00 was 163 minutes late.
The FLACC Revised, Score was due within 75min (60-policy + 15-grace period) but was not charted until 04/20/23 14:32:00 ||Brevik RN, Sierra||
</v>
      </c>
      <c r="G42" s="27" t="str">
        <f>IF(DATA2!G42 = 0, "", IF(ISBLANK(DATA2!G42),"",IF(ISBLANK(DATA!E42),DATA2!G42,"Flag override " &amp; TEXT(DATA!E42,"mm/dd/yyyy hh:mm"))))</f>
        <v>The Verbal Analog Pain Score [0-10] charted at 04/20/23 10:31:00 = 4
The FLACC Revised, Score charted at 04/20/23 14:32:00 = 7
The Oral oxycoDONE given at 04/20/23 10:34:00 was ineffective.
[Narc]</v>
      </c>
      <c r="H42" s="25" t="str">
        <f>IF(DATA!$G42&gt;0,TEXT(DATA!G42,"mm/dd/yyyy hh:mm"),"")</f>
        <v/>
      </c>
      <c r="I42" s="21"/>
    </row>
    <row r="43" spans="2:9" ht="23.25" x14ac:dyDescent="0.25">
      <c r="B43" s="25">
        <f t="shared" si="3"/>
        <v>35</v>
      </c>
      <c r="C43" s="25" t="str">
        <f>IF(NOT(ISBLANK(DATA2!C43)),DATA2!C43,"")</f>
        <v>LLLLLL, Joseph C</v>
      </c>
      <c r="D43" s="25">
        <f>IF(NOT(ISBLANK(DATA2!D43)),DATA2!D43,"")</f>
        <v>80808144</v>
      </c>
      <c r="E43" s="26" t="str">
        <f>IF(ISBLANK(DATA2!E43),"",IF(ISBLANK(DATA!C43),DATA2!E43,"Flag override: " &amp; TEXT(DATA!C43, "mm/dd/yyyy hh:mm") ))</f>
        <v/>
      </c>
      <c r="F43" s="27" t="str">
        <f>IF(ISBLANK(DATA2!F43),"",IF(ISBLANK(DATA!D43),DATA2!F43,"Flag override " &amp; TEXT(DATA!D43, "mm/dd/yyyy hh:mm")))</f>
        <v xml:space="preserve">[PRF]
The follow-up pain assessment charted after IV ketorolac charted @ 04/20/23 14:32:00 was 299 minutes late.
The Verbal Analog Pain Score [0-10] was due within 45min (30-policy + 15-grace period) but was not charted until 04/20/23 20:16:00 ||Brevik RN, Sierra||
</v>
      </c>
      <c r="G43" s="27" t="str">
        <f>IF(DATA2!G43 = 0, "", IF(ISBLANK(DATA2!G43),"",IF(ISBLANK(DATA!E43),DATA2!G43,"Flag override " &amp; TEXT(DATA!E43,"mm/dd/yyyy hh:mm"))))</f>
        <v/>
      </c>
      <c r="H43" s="25" t="str">
        <f>IF(DATA!$G43&gt;0,TEXT(DATA!G43,"mm/dd/yyyy hh:mm"),"")</f>
        <v/>
      </c>
      <c r="I43" s="21"/>
    </row>
    <row r="44" spans="2:9" ht="23.25" x14ac:dyDescent="0.25">
      <c r="B44" s="25">
        <f t="shared" si="3"/>
        <v>36</v>
      </c>
      <c r="C44" s="25" t="str">
        <f>IF(NOT(ISBLANK(DATA2!C44)),DATA2!C44,"")</f>
        <v>LLLLLL, Joseph C</v>
      </c>
      <c r="D44" s="25">
        <f>IF(NOT(ISBLANK(DATA2!D44)),DATA2!D44,"")</f>
        <v>80808144</v>
      </c>
      <c r="E44" s="26" t="str">
        <f>IF(ISBLANK(DATA2!E44),"",IF(ISBLANK(DATA!C44),DATA2!E44,"Flag override: " &amp; TEXT(DATA!C44, "mm/dd/yyyy hh:mm") ))</f>
        <v/>
      </c>
      <c r="F44" s="27" t="str">
        <f>IF(ISBLANK(DATA2!F44),"",IF(ISBLANK(DATA!D44),DATA2!F44,"Flag override " &amp; TEXT(DATA!D44, "mm/dd/yyyy hh:mm")))</f>
        <v xml:space="preserve">[PRF]
The follow-up pain assessment charted after IV ketorolac charted @ 04/21/23 02:40:00 was 248 minutes late.
The Verbal Analog Pain Score [0-10] was due within 45min (30-policy + 15-grace period) but was not charted until 04/21/23 07:33:00 ||DesJardin RN, Bonnie||
</v>
      </c>
      <c r="G44" s="27" t="str">
        <f>IF(DATA2!G44 = 0, "", IF(ISBLANK(DATA2!G44),"",IF(ISBLANK(DATA!E44),DATA2!G44,"Flag override " &amp; TEXT(DATA!E44,"mm/dd/yyyy hh:mm"))))</f>
        <v/>
      </c>
      <c r="H44" s="25" t="str">
        <f>IF(DATA!$G44&gt;0,TEXT(DATA!G44,"mm/dd/yyyy hh:mm"),"")</f>
        <v/>
      </c>
      <c r="I44" s="21"/>
    </row>
    <row r="45" spans="2:9" ht="23.25" x14ac:dyDescent="0.25">
      <c r="B45" s="25">
        <f t="shared" si="3"/>
        <v>37</v>
      </c>
      <c r="C45" s="25" t="str">
        <f>IF(NOT(ISBLANK(DATA2!C45)),DATA2!C45,"")</f>
        <v>LLLLLL, Joseph C</v>
      </c>
      <c r="D45" s="25">
        <f>IF(NOT(ISBLANK(DATA2!D45)),DATA2!D45,"")</f>
        <v>80808144</v>
      </c>
      <c r="E45" s="26" t="str">
        <f>IF(ISBLANK(DATA2!E45),"",IF(ISBLANK(DATA!C45),DATA2!E45,"Flag override: " &amp; TEXT(DATA!C45, "mm/dd/yyyy hh:mm") ))</f>
        <v/>
      </c>
      <c r="F45" s="27" t="str">
        <f>IF(ISBLANK(DATA2!F45),"",IF(ISBLANK(DATA!D45),DATA2!F45,"Flag override " &amp; TEXT(DATA!D45, "mm/dd/yyyy hh:mm")))</f>
        <v xml:space="preserve">[PRF]
Verbal Analog Pain Score [0-10] charted @ 04/21/23 07:33:00 was not charted within 45 min (30-policy + 15-grace period) BEFORE the Oral oxycoDONE charted @ 04/21/23 08:32:00 ||Rice RN BSN, Jennifer D||
</v>
      </c>
      <c r="G45" s="27" t="str">
        <f>IF(DATA2!G45 = 0, "", IF(ISBLANK(DATA2!G45),"",IF(ISBLANK(DATA!E45),DATA2!G45,"Flag override " &amp; TEXT(DATA!E45,"mm/dd/yyyy hh:mm"))))</f>
        <v/>
      </c>
      <c r="H45" s="25" t="str">
        <f>IF(DATA!$G45&gt;0,TEXT(DATA!G45,"mm/dd/yyyy hh:mm"),"")</f>
        <v/>
      </c>
      <c r="I45" s="21"/>
    </row>
    <row r="46" spans="2:9" ht="23.25" x14ac:dyDescent="0.25">
      <c r="B46" s="25">
        <f t="shared" si="3"/>
        <v>38</v>
      </c>
      <c r="C46" s="25" t="str">
        <f>IF(NOT(ISBLANK(DATA2!C46)),DATA2!C46,"")</f>
        <v>LLLLLL, Joseph C</v>
      </c>
      <c r="D46" s="25">
        <f>IF(NOT(ISBLANK(DATA2!D46)),DATA2!D46,"")</f>
        <v>80808144</v>
      </c>
      <c r="E46" s="26" t="str">
        <f>IF(ISBLANK(DATA2!E46),"",IF(ISBLANK(DATA!C46),DATA2!E46,"Flag override: " &amp; TEXT(DATA!C46, "mm/dd/yyyy hh:mm") ))</f>
        <v/>
      </c>
      <c r="F46" s="27" t="str">
        <f>IF(ISBLANK(DATA2!F46),"",IF(ISBLANK(DATA!D46),DATA2!F46,"Flag override " &amp; TEXT(DATA!D46, "mm/dd/yyyy hh:mm")))</f>
        <v xml:space="preserve">[PRF]
Verbal Analog Pain Score [0-10] charted @ 04/21/23 15:49:00 was not charted within 45 min (30-policy + 15-grace period) BEFORE the Oral oxycoDONE charted @ 04/21/23 21:59:00 ||Rice RN BSN, Jennifer D||
</v>
      </c>
      <c r="G46" s="27" t="str">
        <f>IF(DATA2!G46 = 0, "", IF(ISBLANK(DATA2!G46),"",IF(ISBLANK(DATA!E46),DATA2!G46,"Flag override " &amp; TEXT(DATA!E46,"mm/dd/yyyy hh:mm"))))</f>
        <v>The Verbal Analog Pain Score [0-10] charted at 04/21/23 15:49:00 = 3
The Verbal Analog Pain Score [0-10] charted at 04/21/23 22:16:00 = 4
The Oral oxycoDONE given at 04/21/23 21:59:00 was ineffective.
[Narc]</v>
      </c>
      <c r="H46" s="25" t="str">
        <f>IF(DATA!$G46&gt;0,TEXT(DATA!G46,"mm/dd/yyyy hh:mm"),"")</f>
        <v/>
      </c>
      <c r="I46" s="21"/>
    </row>
    <row r="47" spans="2:9" ht="23.25" x14ac:dyDescent="0.25">
      <c r="B47" s="25">
        <f t="shared" si="3"/>
        <v>39</v>
      </c>
      <c r="C47" s="25" t="str">
        <f>IF(NOT(ISBLANK(DATA2!C47)),DATA2!C47,"")</f>
        <v>LLLLLL, Joseph C</v>
      </c>
      <c r="D47" s="25">
        <f>IF(NOT(ISBLANK(DATA2!D47)),DATA2!D47,"")</f>
        <v>80808144</v>
      </c>
      <c r="E47" s="26" t="str">
        <f>IF(ISBLANK(DATA2!E47),"",IF(ISBLANK(DATA!C47),DATA2!E47,"Flag override: " &amp; TEXT(DATA!C47, "mm/dd/yyyy hh:mm") ))</f>
        <v/>
      </c>
      <c r="F47" s="27" t="str">
        <f>IF(ISBLANK(DATA2!F47),"",IF(ISBLANK(DATA!D47),DATA2!F47,"Flag override " &amp; TEXT(DATA!D47, "mm/dd/yyyy hh:mm")))</f>
        <v/>
      </c>
      <c r="G47" s="27" t="str">
        <f>IF(DATA2!G47 = 0, "", IF(ISBLANK(DATA2!G47),"",IF(ISBLANK(DATA!E47),DATA2!G47,"Flag override " &amp; TEXT(DATA!E47,"mm/dd/yyyy hh:mm"))))</f>
        <v>The Verbal Analog Pain Score [0-10] charted at 04/22/23 00:08:00 = 3
The Verbal Analog Pain Score [0-10] charted at 04/22/23 00:35:00 = 6
The IV ketorolac given at 04/22/23 00:16:00 was ineffective.
[Non-Narc]</v>
      </c>
      <c r="H47" s="25" t="str">
        <f>IF(DATA!$G47&gt;0,TEXT(DATA!G47,"mm/dd/yyyy hh:mm"),"")</f>
        <v/>
      </c>
      <c r="I47" s="21"/>
    </row>
    <row r="48" spans="2:9" ht="23.25" x14ac:dyDescent="0.25">
      <c r="B48" s="25">
        <f t="shared" si="3"/>
        <v>40</v>
      </c>
      <c r="C48" s="25" t="str">
        <f>IF(NOT(ISBLANK(DATA2!C48)),DATA2!C48,"")</f>
        <v>LLLLLL, Joseph C</v>
      </c>
      <c r="D48" s="25">
        <f>IF(NOT(ISBLANK(DATA2!D48)),DATA2!D48,"")</f>
        <v>80808144</v>
      </c>
      <c r="E48" s="26" t="str">
        <f>IF(ISBLANK(DATA2!E48),"",IF(ISBLANK(DATA!C48),DATA2!E48,"Flag override: " &amp; TEXT(DATA!C48, "mm/dd/yyyy hh:mm") ))</f>
        <v/>
      </c>
      <c r="F48" s="27" t="str">
        <f>IF(ISBLANK(DATA2!F48),"",IF(ISBLANK(DATA!D48),DATA2!F48,"Flag override " &amp; TEXT(DATA!D48, "mm/dd/yyyy hh:mm")))</f>
        <v xml:space="preserve">[PRF]
Verbal Analog Pain Score [0-10] charted @ 04/22/23 06:51:00 was not charted within 45 min (30-policy + 15-grace period) BEFORE the IV ketorolac charted @ 04/22/23 16:05:00 ||Sims RN, Brenda D.||
</v>
      </c>
      <c r="G48" s="27" t="str">
        <f>IF(DATA2!G48 = 0, "", IF(ISBLANK(DATA2!G48),"",IF(ISBLANK(DATA!E48),DATA2!G48,"Flag override " &amp; TEXT(DATA!E48,"mm/dd/yyyy hh:mm"))))</f>
        <v>The Verbal Analog Pain Score [0-10] charted at 04/22/23 06:51:00 = 4
The Verbal Analog Pain Score [0-10] charted at 04/22/23 16:46:00 = 5
The IV ketorolac given at 04/22/23 16:05:00 was ineffective.
[Non-Narc]</v>
      </c>
      <c r="H48" s="25" t="str">
        <f>IF(DATA!$G48&gt;0,TEXT(DATA!G48,"mm/dd/yyyy hh:mm"),"")</f>
        <v/>
      </c>
      <c r="I48" s="21"/>
    </row>
    <row r="49" spans="2:9" ht="23.25" x14ac:dyDescent="0.25">
      <c r="B49" s="25">
        <f t="shared" si="3"/>
        <v>41</v>
      </c>
      <c r="C49" s="25" t="str">
        <f>IF(NOT(ISBLANK(DATA2!C49)),DATA2!C49,"")</f>
        <v>LLLLLL, Joseph C</v>
      </c>
      <c r="D49" s="25">
        <f>IF(NOT(ISBLANK(DATA2!D49)),DATA2!D49,"")</f>
        <v>80808144</v>
      </c>
      <c r="E49" s="26" t="str">
        <f>IF(ISBLANK(DATA2!E49),"",IF(ISBLANK(DATA!C49),DATA2!E49,"Flag override: " &amp; TEXT(DATA!C49, "mm/dd/yyyy hh:mm") ))</f>
        <v/>
      </c>
      <c r="F49" s="27" t="str">
        <f>IF(ISBLANK(DATA2!F49),"",IF(ISBLANK(DATA!D49),DATA2!F49,"Flag override " &amp; TEXT(DATA!D49, "mm/dd/yyyy hh:mm")))</f>
        <v xml:space="preserve">[PRF]
FLACC Revised, Score charted @ 04/23/23 01:48:00 was not charted within 45 min (30-policy + 15-grace period) BEFORE the IV ketorolac charted @ 04/23/23 09:23:00 ||Brevik RN, Sierra||
</v>
      </c>
      <c r="G49" s="27" t="str">
        <f>IF(DATA2!G49 = 0, "", IF(ISBLANK(DATA2!G49),"",IF(ISBLANK(DATA!E49),DATA2!G49,"Flag override " &amp; TEXT(DATA!E49,"mm/dd/yyyy hh:mm"))))</f>
        <v>The FLACC Revised, Score charted at 04/23/23 01:48:00 = 3
The Verbal Analog Pain Score [0-10] charted at 04/23/23 09:27:00 = 8
The IV ketorolac given at 04/23/23 09:23:00 was ineffective.
[Non-Narc]</v>
      </c>
      <c r="H49" s="25" t="str">
        <f>IF(DATA!$G49&gt;0,TEXT(DATA!G49,"mm/dd/yyyy hh:mm"),"")</f>
        <v/>
      </c>
      <c r="I49" s="21"/>
    </row>
    <row r="50" spans="2:9" ht="23.25" x14ac:dyDescent="0.25">
      <c r="B50" s="25">
        <f t="shared" si="3"/>
        <v>42</v>
      </c>
      <c r="C50" s="25" t="str">
        <f>IF(NOT(ISBLANK(DATA2!C50)),DATA2!C50,"")</f>
        <v>LLLLLL, Joseph C</v>
      </c>
      <c r="D50" s="25">
        <f>IF(NOT(ISBLANK(DATA2!D50)),DATA2!D50,"")</f>
        <v>80808144</v>
      </c>
      <c r="E50" s="26" t="str">
        <f>IF(ISBLANK(DATA2!E50),"",IF(ISBLANK(DATA!C50),DATA2!E50,"Flag override: " &amp; TEXT(DATA!C50, "mm/dd/yyyy hh:mm") ))</f>
        <v/>
      </c>
      <c r="F50" s="27" t="str">
        <f>IF(ISBLANK(DATA2!F50),"",IF(ISBLANK(DATA!D50),DATA2!F50,"Flag override " &amp; TEXT(DATA!D50, "mm/dd/yyyy hh:mm")))</f>
        <v xml:space="preserve">[PRF]
FLACC Revised, Score charted @ 04/23/23 17:16:00 was not charted within 45 min (30-policy + 15-grace period) BEFORE the IV ketorolac charted @ 04/23/23 18:38:00 ||Adams RN, Kanani E||
</v>
      </c>
      <c r="G50" s="27" t="str">
        <f>IF(DATA2!G50 = 0, "", IF(ISBLANK(DATA2!G50),"",IF(ISBLANK(DATA!E50),DATA2!G50,"Flag override " &amp; TEXT(DATA!E50,"mm/dd/yyyy hh:mm"))))</f>
        <v>The FLACC Revised, Score charted at 04/23/23 17:16:00 = 9
The Verbal Analog Pain Score [0-10] charted at 04/23/23 19:11:00 = 10
The IV ketorolac given at 04/23/23 18:38:00 was ineffective.
[Non-Narc]</v>
      </c>
      <c r="H50" s="25" t="str">
        <f>IF(DATA!$G50&gt;0,TEXT(DATA!G50,"mm/dd/yyyy hh:mm"),"")</f>
        <v/>
      </c>
      <c r="I50" s="21"/>
    </row>
    <row r="51" spans="2:9" ht="23.25" x14ac:dyDescent="0.25">
      <c r="B51" s="25">
        <f t="shared" si="3"/>
        <v>43</v>
      </c>
      <c r="C51" s="25" t="str">
        <f>IF(NOT(ISBLANK(DATA2!C51)),DATA2!C51,"")</f>
        <v>LLLLLL, Joseph C</v>
      </c>
      <c r="D51" s="25">
        <f>IF(NOT(ISBLANK(DATA2!D51)),DATA2!D51,"")</f>
        <v>80808144</v>
      </c>
      <c r="E51" s="26" t="str">
        <f>IF(ISBLANK(DATA2!E51),"",IF(ISBLANK(DATA!C51),DATA2!E51,"Flag override: " &amp; TEXT(DATA!C51, "mm/dd/yyyy hh:mm") ))</f>
        <v/>
      </c>
      <c r="F51" s="27" t="str">
        <f>IF(ISBLANK(DATA2!F51),"",IF(ISBLANK(DATA!D51),DATA2!F51,"Flag override " &amp; TEXT(DATA!D51, "mm/dd/yyyy hh:mm")))</f>
        <v xml:space="preserve">[PRF]
Verbal Analog Pain Score [0-10] charted @ 04/23/23 19:11:00 was not charted within 45 min (30-policy + 15-grace period) BEFORE the IV ketorolac charted @ 04/24/23 00:45:00 ||Adams RN, Kanani E||
[PRF]
The follow-up pain assessment charted after IV ketorolac charted @ 04/24/23 00:45:00 was 39 minutes late.
The FLACC Revised, Score was due within 45min (30-policy + 15-grace period) but was not charted until 04/24/23 02:09:00 ||Adams RN, Kanani E||
</v>
      </c>
      <c r="G51" s="27" t="str">
        <f>IF(DATA2!G51 = 0, "", IF(ISBLANK(DATA2!G51),"",IF(ISBLANK(DATA!E51),DATA2!G51,"Flag override " &amp; TEXT(DATA!E51,"mm/dd/yyyy hh:mm"))))</f>
        <v/>
      </c>
      <c r="H51" s="25" t="str">
        <f>IF(DATA!$G51&gt;0,TEXT(DATA!G51,"mm/dd/yyyy hh:mm"),"")</f>
        <v/>
      </c>
      <c r="I51" s="21"/>
    </row>
    <row r="52" spans="2:9" ht="23.25" x14ac:dyDescent="0.25">
      <c r="B52" s="25">
        <f t="shared" si="3"/>
        <v>44</v>
      </c>
      <c r="C52" s="25" t="str">
        <f>IF(NOT(ISBLANK(DATA2!C52)),DATA2!C52,"")</f>
        <v>LLLLLL, Joseph C</v>
      </c>
      <c r="D52" s="25">
        <f>IF(NOT(ISBLANK(DATA2!D52)),DATA2!D52,"")</f>
        <v>80808144</v>
      </c>
      <c r="E52" s="26" t="str">
        <f>IF(ISBLANK(DATA2!E52),"",IF(ISBLANK(DATA!C52),DATA2!E52,"Flag override: " &amp; TEXT(DATA!C52, "mm/dd/yyyy hh:mm") ))</f>
        <v/>
      </c>
      <c r="F52" s="27" t="str">
        <f>IF(ISBLANK(DATA2!F52),"",IF(ISBLANK(DATA!D52),DATA2!F52,"Flag override " &amp; TEXT(DATA!D52, "mm/dd/yyyy hh:mm")))</f>
        <v xml:space="preserve">999 minutes elapsed between pain scores, exceeding the 12-hr per-shift limit 
Previous score charted @ 04/25/23 03:25:00
Flagged score charted @ 04/25/23 20:04:00)
 ||May RN, Caroline||
</v>
      </c>
      <c r="G52" s="27" t="str">
        <f>IF(DATA2!G52 = 0, "", IF(ISBLANK(DATA2!G52),"",IF(ISBLANK(DATA!E52),DATA2!G52,"Flag override " &amp; TEXT(DATA!E52,"mm/dd/yyyy hh:mm"))))</f>
        <v/>
      </c>
      <c r="H52" s="25" t="str">
        <f>IF(DATA!$G52&gt;0,TEXT(DATA!G52,"mm/dd/yyyy hh:mm"),"")</f>
        <v/>
      </c>
      <c r="I52" s="21"/>
    </row>
    <row r="53" spans="2:9" ht="23.25" x14ac:dyDescent="0.25">
      <c r="B53" s="25">
        <f t="shared" si="3"/>
        <v>45</v>
      </c>
      <c r="C53" s="25" t="str">
        <f>IF(NOT(ISBLANK(DATA2!C53)),DATA2!C53,"")</f>
        <v>LLLLLL, Joseph C</v>
      </c>
      <c r="D53" s="25">
        <f>IF(NOT(ISBLANK(DATA2!D53)),DATA2!D53,"")</f>
        <v>80808144</v>
      </c>
      <c r="E53" s="26" t="str">
        <f>IF(ISBLANK(DATA2!E53),"",IF(ISBLANK(DATA!C53),DATA2!E53,"Flag override: " &amp; TEXT(DATA!C53, "mm/dd/yyyy hh:mm") ))</f>
        <v/>
      </c>
      <c r="F53" s="27" t="str">
        <f>IF(ISBLANK(DATA2!F53),"",IF(ISBLANK(DATA!D53),DATA2!F53,"Flag override " &amp; TEXT(DATA!D53, "mm/dd/yyyy hh:mm")))</f>
        <v xml:space="preserve">772 minutes elapsed between pain scores, exceeding the 12-hr per-shift limit 
Previous score charted @ 04/26/23 09:58:00
Flagged score charted @ 04/26/23 22:50:00)
 ||Linton RN, Chloe B||
</v>
      </c>
      <c r="G53" s="27" t="str">
        <f>IF(DATA2!G53 = 0, "", IF(ISBLANK(DATA2!G53),"",IF(ISBLANK(DATA!E53),DATA2!G53,"Flag override " &amp; TEXT(DATA!E53,"mm/dd/yyyy hh:mm"))))</f>
        <v/>
      </c>
      <c r="H53" s="25" t="str">
        <f>IF(DATA!$G53&gt;0,TEXT(DATA!G53,"mm/dd/yyyy hh:mm"),"")</f>
        <v/>
      </c>
      <c r="I53" s="21"/>
    </row>
    <row r="54" spans="2:9" ht="23.25" x14ac:dyDescent="0.25">
      <c r="B54" s="25">
        <f t="shared" si="3"/>
        <v>46</v>
      </c>
      <c r="C54" s="25" t="str">
        <f>IF(NOT(ISBLANK(DATA2!C54)),DATA2!C54,"")</f>
        <v>LLLLLL, Joseph C</v>
      </c>
      <c r="D54" s="25">
        <f>IF(NOT(ISBLANK(DATA2!D54)),DATA2!D54,"")</f>
        <v>80808144</v>
      </c>
      <c r="E54" s="26" t="str">
        <f>IF(ISBLANK(DATA2!E54),"",IF(ISBLANK(DATA!C54),DATA2!E54,"Flag override: " &amp; TEXT(DATA!C54, "mm/dd/yyyy hh:mm") ))</f>
        <v/>
      </c>
      <c r="F54" s="27" t="str">
        <f>IF(ISBLANK(DATA2!F54),"",IF(ISBLANK(DATA!D54),DATA2!F54,"Flag override " &amp; TEXT(DATA!D54, "mm/dd/yyyy hh:mm")))</f>
        <v xml:space="preserve">[PRF]
The follow-up pain assessment charted after IV ketorolac charted @ 04/27/23 01:47:00 was 322 minutes late.
The Verbal Analog Pain Score [0-10] was due within 45min (30-policy + 15-grace period) but was not charted until 04/27/23 07:54:00 ||Linton RN, Chloe B||
</v>
      </c>
      <c r="G54" s="27" t="str">
        <f>IF(DATA2!G54 = 0, "", IF(ISBLANK(DATA2!G54),"",IF(ISBLANK(DATA!E54),DATA2!G54,"Flag override " &amp; TEXT(DATA!E54,"mm/dd/yyyy hh:mm"))))</f>
        <v/>
      </c>
      <c r="H54" s="25" t="str">
        <f>IF(DATA!$G54&gt;0,TEXT(DATA!G54,"mm/dd/yyyy hh:mm"),"")</f>
        <v/>
      </c>
      <c r="I54" s="21"/>
    </row>
    <row r="55" spans="2:9" ht="23.25" x14ac:dyDescent="0.25">
      <c r="B55" s="25">
        <f t="shared" si="3"/>
        <v>47</v>
      </c>
      <c r="C55" s="25" t="str">
        <f>IF(NOT(ISBLANK(DATA2!C55)),DATA2!C55,"")</f>
        <v>LLLLLL, Joseph C</v>
      </c>
      <c r="D55" s="25">
        <f>IF(NOT(ISBLANK(DATA2!D55)),DATA2!D55,"")</f>
        <v>80808144</v>
      </c>
      <c r="E55" s="26" t="str">
        <f>IF(ISBLANK(DATA2!E55),"",IF(ISBLANK(DATA!C55),DATA2!E55,"Flag override: " &amp; TEXT(DATA!C55, "mm/dd/yyyy hh:mm") ))</f>
        <v/>
      </c>
      <c r="F55" s="27" t="str">
        <f>IF(ISBLANK(DATA2!F55),"",IF(ISBLANK(DATA!D55),DATA2!F55,"Flag override " &amp; TEXT(DATA!D55, "mm/dd/yyyy hh:mm")))</f>
        <v xml:space="preserve">[PRF]
Verbal Analog Pain Score [0-10] charted @ 04/27/23 07:54:00 was not charted within 45 min (30-policy + 15-grace period) BEFORE the Oral oxycoDONE charted @ 04/27/23 23:05:00 ||Linton RN, Chloe B||
</v>
      </c>
      <c r="G55" s="27" t="str">
        <f>IF(DATA2!G55 = 0, "", IF(ISBLANK(DATA2!G55),"",IF(ISBLANK(DATA!E55),DATA2!G55,"Flag override " &amp; TEXT(DATA!E55,"mm/dd/yyyy hh:mm"))))</f>
        <v/>
      </c>
      <c r="H55" s="25" t="str">
        <f>IF(DATA!$G55&gt;0,TEXT(DATA!G55,"mm/dd/yyyy hh:mm"),"")</f>
        <v/>
      </c>
      <c r="I55" s="21"/>
    </row>
    <row r="56" spans="2:9" ht="23.25" x14ac:dyDescent="0.25">
      <c r="B56" s="25">
        <f t="shared" si="3"/>
        <v>48</v>
      </c>
      <c r="C56" s="25" t="str">
        <f>IF(NOT(ISBLANK(DATA2!C56)),DATA2!C56,"")</f>
        <v>LLLLLL, Joseph C</v>
      </c>
      <c r="D56" s="25">
        <f>IF(NOT(ISBLANK(DATA2!D56)),DATA2!D56,"")</f>
        <v>80808144</v>
      </c>
      <c r="E56" s="26" t="str">
        <f>IF(ISBLANK(DATA2!E56),"",IF(ISBLANK(DATA!C56),DATA2!E56,"Flag override: " &amp; TEXT(DATA!C56, "mm/dd/yyyy hh:mm") ))</f>
        <v/>
      </c>
      <c r="F56" s="27" t="str">
        <f>IF(ISBLANK(DATA2!F56),"",IF(ISBLANK(DATA!D56),DATA2!F56,"Flag override " &amp; TEXT(DATA!D56, "mm/dd/yyyy hh:mm")))</f>
        <v xml:space="preserve">924 minutes elapsed between pain scores, exceeding the 12-hr per-shift limit 
Previous score charted @ 04/27/23 07:54:00
Flagged score charted @ 04/27/23 23:18:00)
 ||Linton RN, Chloe B||
</v>
      </c>
      <c r="G56" s="27" t="str">
        <f>IF(DATA2!G56 = 0, "", IF(ISBLANK(DATA2!G56),"",IF(ISBLANK(DATA!E56),DATA2!G56,"Flag override " &amp; TEXT(DATA!E56,"mm/dd/yyyy hh:mm"))))</f>
        <v/>
      </c>
      <c r="H56" s="25" t="str">
        <f>IF(DATA!$G56&gt;0,TEXT(DATA!G56,"mm/dd/yyyy hh:mm"),"")</f>
        <v/>
      </c>
      <c r="I56" s="21"/>
    </row>
    <row r="57" spans="2:9" ht="23.25" x14ac:dyDescent="0.25">
      <c r="B57" s="25">
        <f t="shared" si="3"/>
        <v>49</v>
      </c>
      <c r="C57" s="25" t="str">
        <f>IF(NOT(ISBLANK(DATA2!C57)),DATA2!C57,"")</f>
        <v>LLLLLL, Joseph C</v>
      </c>
      <c r="D57" s="25">
        <f>IF(NOT(ISBLANK(DATA2!D57)),DATA2!D57,"")</f>
        <v>80808144</v>
      </c>
      <c r="E57" s="26" t="str">
        <f>IF(ISBLANK(DATA2!E57),"",IF(ISBLANK(DATA!C57),DATA2!E57,"Flag override: " &amp; TEXT(DATA!C57, "mm/dd/yyyy hh:mm") ))</f>
        <v/>
      </c>
      <c r="F57" s="27" t="str">
        <f>IF(ISBLANK(DATA2!F57),"",IF(ISBLANK(DATA!D57),DATA2!F57,"Flag override " &amp; TEXT(DATA!D57, "mm/dd/yyyy hh:mm")))</f>
        <v xml:space="preserve">1005 minutes elapsed between pain scores, exceeding the 12-hr per-shift limit 
Previous score charted @ 04/28/23 06:51:00
Flagged score charted @ 04/28/23 23:36:00)
 ||Willer RN, Ella||
</v>
      </c>
      <c r="G57" s="27" t="str">
        <f>IF(DATA2!G57 = 0, "", IF(ISBLANK(DATA2!G57),"",IF(ISBLANK(DATA!E57),DATA2!G57,"Flag override " &amp; TEXT(DATA!E57,"mm/dd/yyyy hh:mm"))))</f>
        <v/>
      </c>
      <c r="H57" s="25" t="str">
        <f>IF(DATA!$G57&gt;0,TEXT(DATA!G57,"mm/dd/yyyy hh:mm"),"")</f>
        <v/>
      </c>
      <c r="I57" s="21"/>
    </row>
    <row r="58" spans="2:9" ht="23.25" x14ac:dyDescent="0.25">
      <c r="B58" s="25">
        <f t="shared" si="3"/>
        <v>50</v>
      </c>
      <c r="C58" s="25" t="str">
        <f>IF(NOT(ISBLANK(DATA2!C58)),DATA2!C58,"")</f>
        <v>LLLLLL, Joseph C</v>
      </c>
      <c r="D58" s="25">
        <f>IF(NOT(ISBLANK(DATA2!D58)),DATA2!D58,"")</f>
        <v>80808144</v>
      </c>
      <c r="E58" s="26" t="str">
        <f>IF(ISBLANK(DATA2!E58),"",IF(ISBLANK(DATA!C58),DATA2!E58,"Flag override: " &amp; TEXT(DATA!C58, "mm/dd/yyyy hh:mm") ))</f>
        <v/>
      </c>
      <c r="F58" s="27" t="str">
        <f>IF(ISBLANK(DATA2!F58),"",IF(ISBLANK(DATA!D58),DATA2!F58,"Flag override " &amp; TEXT(DATA!D58, "mm/dd/yyyy hh:mm")))</f>
        <v xml:space="preserve">933 minutes elapsed between pain scores, exceeding the 12-hr per-shift limit 
Previous score charted @ 04/29/23 07:15:00
Flagged score charted @ 04/29/23 22:48:00)
 ||Willer RN, Ella||
</v>
      </c>
      <c r="G58" s="27" t="str">
        <f>IF(DATA2!G58 = 0, "", IF(ISBLANK(DATA2!G58),"",IF(ISBLANK(DATA!E58),DATA2!G58,"Flag override " &amp; TEXT(DATA!E58,"mm/dd/yyyy hh:mm"))))</f>
        <v/>
      </c>
      <c r="H58" s="25" t="str">
        <f>IF(DATA!$G58&gt;0,TEXT(DATA!G58,"mm/dd/yyyy hh:mm"),"")</f>
        <v/>
      </c>
      <c r="I58" s="21"/>
    </row>
    <row r="59" spans="2:9" ht="23.25" x14ac:dyDescent="0.25">
      <c r="B59" s="25">
        <f t="shared" si="3"/>
        <v>51</v>
      </c>
      <c r="C59" s="25" t="str">
        <f>IF(NOT(ISBLANK(DATA2!C59)),DATA2!C59,"")</f>
        <v>LLLLLL, Joseph C</v>
      </c>
      <c r="D59" s="25">
        <f>IF(NOT(ISBLANK(DATA2!D59)),DATA2!D59,"")</f>
        <v>80808144</v>
      </c>
      <c r="E59" s="26" t="str">
        <f>IF(ISBLANK(DATA2!E59),"",IF(ISBLANK(DATA!C59),DATA2!E59,"Flag override: " &amp; TEXT(DATA!C59, "mm/dd/yyyy hh:mm") ))</f>
        <v/>
      </c>
      <c r="F59" s="27" t="str">
        <f>IF(ISBLANK(DATA2!F59),"",IF(ISBLANK(DATA!D59),DATA2!F59,"Flag override " &amp; TEXT(DATA!D59, "mm/dd/yyyy hh:mm")))</f>
        <v xml:space="preserve">811 minutes elapsed between pain scores, exceeding the 12-hr per-shift limit 
Previous score charted @ 05/01/23 18:50:00
Flagged score charted @ 05/02/23 08:21:00)
 ||Rouse BSN, RN, Gabrielle||
</v>
      </c>
      <c r="G59" s="27" t="str">
        <f>IF(DATA2!G59 = 0, "", IF(ISBLANK(DATA2!G59),"",IF(ISBLANK(DATA!E59),DATA2!G59,"Flag override " &amp; TEXT(DATA!E59,"mm/dd/yyyy hh:mm"))))</f>
        <v/>
      </c>
      <c r="H59" s="25" t="str">
        <f>IF(DATA!$G59&gt;0,TEXT(DATA!G59,"mm/dd/yyyy hh:mm"),"")</f>
        <v/>
      </c>
      <c r="I59" s="21"/>
    </row>
    <row r="60" spans="2:9" ht="23.25" x14ac:dyDescent="0.25">
      <c r="B60" s="25">
        <f t="shared" si="3"/>
        <v>52</v>
      </c>
      <c r="C60" s="25" t="str">
        <f>IF(NOT(ISBLANK(DATA2!C60)),DATA2!C60,"")</f>
        <v>LLLLLL, Joseph C</v>
      </c>
      <c r="D60" s="25">
        <f>IF(NOT(ISBLANK(DATA2!D60)),DATA2!D60,"")</f>
        <v>80808144</v>
      </c>
      <c r="E60" s="26" t="str">
        <f>IF(ISBLANK(DATA2!E60),"",IF(ISBLANK(DATA!C60),DATA2!E60,"Flag override: " &amp; TEXT(DATA!C60, "mm/dd/yyyy hh:mm") ))</f>
        <v/>
      </c>
      <c r="F60" s="27" t="str">
        <f>IF(ISBLANK(DATA2!F60),"",IF(ISBLANK(DATA!D60),DATA2!F60,"Flag override " &amp; TEXT(DATA!D60, "mm/dd/yyyy hh:mm")))</f>
        <v xml:space="preserve">877 minutes elapsed between pain scores, exceeding the 12-hr per-shift limit 
Previous score charted @ 05/02/23 08:21:00
Flagged score charted @ 05/02/23 22:58:00)
 ||May RN, Caroline||
</v>
      </c>
      <c r="G60" s="27" t="str">
        <f>IF(DATA2!G60 = 0, "", IF(ISBLANK(DATA2!G60),"",IF(ISBLANK(DATA!E60),DATA2!G60,"Flag override " &amp; TEXT(DATA!E60,"mm/dd/yyyy hh:mm"))))</f>
        <v/>
      </c>
      <c r="H60" s="25" t="str">
        <f>IF(DATA!$G60&gt;0,TEXT(DATA!G60,"mm/dd/yyyy hh:mm"),"")</f>
        <v/>
      </c>
      <c r="I60" s="21"/>
    </row>
    <row r="61" spans="2:9" ht="23.25" x14ac:dyDescent="0.25">
      <c r="B61" s="25">
        <f t="shared" si="3"/>
        <v>53</v>
      </c>
      <c r="C61" s="25" t="str">
        <f>IF(NOT(ISBLANK(DATA2!C61)),DATA2!C61,"")</f>
        <v>LLLLLL, Joseph C</v>
      </c>
      <c r="D61" s="25">
        <f>IF(NOT(ISBLANK(DATA2!D61)),DATA2!D61,"")</f>
        <v>80808144</v>
      </c>
      <c r="E61" s="26" t="str">
        <f>IF(ISBLANK(DATA2!E61),"",IF(ISBLANK(DATA!C61),DATA2!E61,"Flag override: " &amp; TEXT(DATA!C61, "mm/dd/yyyy hh:mm") ))</f>
        <v/>
      </c>
      <c r="F61" s="27" t="str">
        <f>IF(ISBLANK(DATA2!F61),"",IF(ISBLANK(DATA!D61),DATA2!F61,"Flag override " &amp; TEXT(DATA!D61, "mm/dd/yyyy hh:mm")))</f>
        <v xml:space="preserve">[PRF]
Verbal Analog Pain Score [0-10] charted @ 05/03/23 06:44:00 was not charted within 45 min (30-policy + 15-grace period) BEFORE the Oral ibuprofen charted @ 05/03/23 15:45:00 ||Matheny RN, Jennifer||
[PRF]
The follow-up pain assessment charted after Oral ibuprofen charted @ 05/03/23 15:45:00 was 47 minutes late.
The FLACC Revised, Score was due within 75min (60-policy + 15-grace period) but was not charted until 05/03/23 17:47:00 ||Matheny RN, Jennifer||
</v>
      </c>
      <c r="G61" s="27" t="str">
        <f>IF(DATA2!G61 = 0, "", IF(ISBLANK(DATA2!G61),"",IF(ISBLANK(DATA!E61),DATA2!G61,"Flag override " &amp; TEXT(DATA!E61,"mm/dd/yyyy hh:mm"))))</f>
        <v>The Verbal Analog Pain Score [0-10] charted at 05/03/23 06:44:00 = 2
The FLACC Revised, Score charted at 05/03/23 17:47:00 = 5
The Oral ibuprofen given at 05/03/23 15:45:00 was ineffective.
[Non-Narc]</v>
      </c>
      <c r="H61" s="25" t="str">
        <f>IF(DATA!$G61&gt;0,TEXT(DATA!G61,"mm/dd/yyyy hh:mm"),"")</f>
        <v/>
      </c>
      <c r="I61" s="21"/>
    </row>
    <row r="62" spans="2:9" ht="23.25" x14ac:dyDescent="0.25">
      <c r="B62" s="25">
        <f t="shared" si="3"/>
        <v>54</v>
      </c>
      <c r="C62" s="25" t="str">
        <f>IF(NOT(ISBLANK(DATA2!C62)),DATA2!C62,"")</f>
        <v>LLLLLL, Joseph C</v>
      </c>
      <c r="D62" s="25">
        <f>IF(NOT(ISBLANK(DATA2!D62)),DATA2!D62,"")</f>
        <v>80808144</v>
      </c>
      <c r="E62" s="26" t="str">
        <f>IF(ISBLANK(DATA2!E62),"",IF(ISBLANK(DATA!C62),DATA2!E62,"Flag override: " &amp; TEXT(DATA!C62, "mm/dd/yyyy hh:mm") ))</f>
        <v/>
      </c>
      <c r="F62" s="27" t="str">
        <f>IF(ISBLANK(DATA2!F62),"",IF(ISBLANK(DATA!D62),DATA2!F62,"Flag override " &amp; TEXT(DATA!D62, "mm/dd/yyyy hh:mm")))</f>
        <v xml:space="preserve">[PRF]
FLACC Revised, Score charted @ 05/03/23 17:47:00 was not charted within 45 min (30-policy + 15-grace period) BEFORE the Oral oxycoDONE charted @ 05/03/23 21:56:00 ||Linton RN, Chloe B||
</v>
      </c>
      <c r="G62" s="27" t="str">
        <f>IF(DATA2!G62 = 0, "", IF(ISBLANK(DATA2!G62),"",IF(ISBLANK(DATA!E62),DATA2!G62,"Flag override " &amp; TEXT(DATA!E62,"mm/dd/yyyy hh:mm"))))</f>
        <v/>
      </c>
      <c r="H62" s="25" t="str">
        <f>IF(DATA!$G62&gt;0,TEXT(DATA!G62,"mm/dd/yyyy hh:mm"),"")</f>
        <v/>
      </c>
      <c r="I62" s="21"/>
    </row>
    <row r="63" spans="2:9" ht="23.25" x14ac:dyDescent="0.25">
      <c r="B63" s="25">
        <f t="shared" si="3"/>
        <v>55</v>
      </c>
      <c r="C63" s="25" t="str">
        <f>IF(NOT(ISBLANK(DATA2!C63)),DATA2!C63,"")</f>
        <v>LLLLLL, Joseph C</v>
      </c>
      <c r="D63" s="25">
        <f>IF(NOT(ISBLANK(DATA2!D63)),DATA2!D63,"")</f>
        <v>80808144</v>
      </c>
      <c r="E63" s="26" t="str">
        <f>IF(ISBLANK(DATA2!E63),"",IF(ISBLANK(DATA!C63),DATA2!E63,"Flag override: " &amp; TEXT(DATA!C63, "mm/dd/yyyy hh:mm") ))</f>
        <v/>
      </c>
      <c r="F63" s="27" t="str">
        <f>IF(ISBLANK(DATA2!F63),"",IF(ISBLANK(DATA!D63),DATA2!F63,"Flag override " &amp; TEXT(DATA!D63, "mm/dd/yyyy hh:mm")))</f>
        <v xml:space="preserve">[PRF]
Verbal Analog Pain Score [0-10] charted @ 05/03/23 22:22:00 was not charted within 45 min (30-policy + 15-grace period) BEFORE the Oral ibuprofen charted @ 05/03/23 23:19:00 ||Linton RN, Chloe B||
[PRF]
The follow-up pain assessment charted after Oral ibuprofen charted @ 05/03/23 23:19:00 was 5 minutes late.
The Verbal Analog Pain Score [0-10] was due within 75min (60-policy + 15-grace period) but was not charted until 05/04/23 00:39:00 ||Linton RN, Chloe B||
</v>
      </c>
      <c r="G63" s="27" t="str">
        <f>IF(DATA2!G63 = 0, "", IF(ISBLANK(DATA2!G63),"",IF(ISBLANK(DATA!E63),DATA2!G63,"Flag override " &amp; TEXT(DATA!E63,"mm/dd/yyyy hh:mm"))))</f>
        <v>The Verbal Analog Pain Score [0-10] charted at 05/03/23 22:22:00 = 2
The Verbal Analog Pain Score [0-10] charted at 05/04/23 00:39:00 = 10
The Oral ibuprofen given at 05/03/23 23:19:00 was ineffective.
[Non-Narc]</v>
      </c>
      <c r="H63" s="25" t="str">
        <f>IF(DATA!$G63&gt;0,TEXT(DATA!G63,"mm/dd/yyyy hh:mm"),"")</f>
        <v/>
      </c>
      <c r="I63" s="21"/>
    </row>
    <row r="64" spans="2:9" ht="23.25" x14ac:dyDescent="0.25">
      <c r="B64" s="25">
        <f t="shared" si="3"/>
        <v>56</v>
      </c>
      <c r="C64" s="25" t="str">
        <f>IF(NOT(ISBLANK(DATA2!C64)),DATA2!C64,"")</f>
        <v>LLLLLL, Joseph C</v>
      </c>
      <c r="D64" s="25">
        <f>IF(NOT(ISBLANK(DATA2!D64)),DATA2!D64,"")</f>
        <v>80808144</v>
      </c>
      <c r="E64" s="26" t="str">
        <f>IF(ISBLANK(DATA2!E64),"",IF(ISBLANK(DATA!C64),DATA2!E64,"Flag override: " &amp; TEXT(DATA!C64, "mm/dd/yyyy hh:mm") ))</f>
        <v/>
      </c>
      <c r="F64" s="27" t="str">
        <f>IF(ISBLANK(DATA2!F64),"",IF(ISBLANK(DATA!D64),DATA2!F64,"Flag override " &amp; TEXT(DATA!D64, "mm/dd/yyyy hh:mm")))</f>
        <v xml:space="preserve">[PRF]
Verbal Analog Pain Score [0-10] charted @ 05/04/23 00:39:00 was not charted within 45 min (30-policy + 15-grace period) BEFORE the Oral ibuprofen charted @ 05/04/23 09:12:00 ||Matheny RN, Jennifer||
</v>
      </c>
      <c r="G64" s="27" t="str">
        <f>IF(DATA2!G64 = 0, "", IF(ISBLANK(DATA2!G64),"",IF(ISBLANK(DATA!E64),DATA2!G64,"Flag override " &amp; TEXT(DATA!E64,"mm/dd/yyyy hh:mm"))))</f>
        <v/>
      </c>
      <c r="H64" s="25" t="str">
        <f>IF(DATA!$G64&gt;0,TEXT(DATA!G64,"mm/dd/yyyy hh:mm"),"")</f>
        <v/>
      </c>
      <c r="I64" s="21"/>
    </row>
    <row r="65" spans="2:9" ht="23.25" x14ac:dyDescent="0.25">
      <c r="B65" s="25">
        <f t="shared" si="3"/>
        <v>57</v>
      </c>
      <c r="C65" s="25" t="str">
        <f>IF(NOT(ISBLANK(DATA2!C65)),DATA2!C65,"")</f>
        <v>VVVVVV, Gabriel J</v>
      </c>
      <c r="D65" s="25">
        <f>IF(NOT(ISBLANK(DATA2!D65)),DATA2!D65,"")</f>
        <v>80808161</v>
      </c>
      <c r="E65" s="26" t="str">
        <f>IF(ISBLANK(DATA2!E65),"",IF(ISBLANK(DATA!C65),DATA2!E65,"Flag override: " &amp; TEXT(DATA!C65, "mm/dd/yyyy hh:mm") ))</f>
        <v xml:space="preserve">[PRF]
No follow-up pain assessment observed after Oral oxycoDONE charted @ 05/17/23 14:38:00
Patient discharged @ 05/17/23 14:45:00
 ||Gering RN, Esther||
</v>
      </c>
      <c r="F65" s="27" t="str">
        <f>IF(ISBLANK(DATA2!F65),"",IF(ISBLANK(DATA!D65),DATA2!F65,"Flag override " &amp; TEXT(DATA!D65, "mm/dd/yyyy hh:mm")))</f>
        <v xml:space="preserve">[PRF]
FLACC Revised, Score charted @ 05/17/23 13:19:00 was not charted within 45 min (30-policy + 15-grace period) BEFORE the Oral oxycoDONE charted @ 05/17/23 14:38:00 ||Gering RN, Esther||
</v>
      </c>
      <c r="G65" s="27" t="str">
        <f>IF(DATA2!G65 = 0, "", IF(ISBLANK(DATA2!G65),"",IF(ISBLANK(DATA!E65),DATA2!G65,"Flag override " &amp; TEXT(DATA!E65,"mm/dd/yyyy hh:mm"))))</f>
        <v/>
      </c>
      <c r="H65" s="25" t="str">
        <f>IF(DATA!$G65&gt;0,TEXT(DATA!G65,"mm/dd/yyyy hh:mm"),"")</f>
        <v/>
      </c>
      <c r="I65" s="21"/>
    </row>
    <row r="66" spans="2:9" ht="23.25" x14ac:dyDescent="0.25">
      <c r="B66" s="25">
        <f t="shared" si="3"/>
        <v>58</v>
      </c>
      <c r="C66" s="25" t="str">
        <f>IF(NOT(ISBLANK(DATA2!C66)),DATA2!C66,"")</f>
        <v>UUUUUU, Nolan P</v>
      </c>
      <c r="D66" s="25">
        <f>IF(NOT(ISBLANK(DATA2!D66)),DATA2!D66,"")</f>
        <v>80808186</v>
      </c>
      <c r="E66" s="26" t="str">
        <f>IF(ISBLANK(DATA2!E66),"",IF(ISBLANK(DATA!C66),DATA2!E66,"Flag override: " &amp; TEXT(DATA!C66, "mm/dd/yyyy hh:mm") ))</f>
        <v/>
      </c>
      <c r="F66" s="27" t="str">
        <f>IF(ISBLANK(DATA2!F66),"",IF(ISBLANK(DATA!D66),DATA2!F66,"Flag override " &amp; TEXT(DATA!D66, "mm/dd/yyyy hh:mm")))</f>
        <v/>
      </c>
      <c r="G66" s="27" t="str">
        <f>IF(DATA2!G66 = 0, "", IF(ISBLANK(DATA2!G66),"",IF(ISBLANK(DATA!E66),DATA2!G66,"Flag override " &amp; TEXT(DATA!E66,"mm/dd/yyyy hh:mm"))))</f>
        <v>The Verbal Analog Pain Score [0-10] charted at 04/20/23 14:36:00 = 6
The Verbal Analog Pain Score [0-10] charted at 04/20/23 15:23:00 = 9
The Oral oxycoDONE given at 04/20/23 15:00:00 was ineffective.
[Narc]</v>
      </c>
      <c r="H66" s="25" t="str">
        <f>IF(DATA!$G66&gt;0,TEXT(DATA!G66,"mm/dd/yyyy hh:mm"),"")</f>
        <v/>
      </c>
      <c r="I66" s="21"/>
    </row>
    <row r="67" spans="2:9" ht="23.25" x14ac:dyDescent="0.25">
      <c r="B67" s="25">
        <f t="shared" si="3"/>
        <v>59</v>
      </c>
      <c r="C67" s="25" t="str">
        <f>IF(NOT(ISBLANK(DATA2!C67)),DATA2!C67,"")</f>
        <v>DDDDDD, Jordan A</v>
      </c>
      <c r="D67" s="25">
        <f>IF(NOT(ISBLANK(DATA2!D67)),DATA2!D67,"")</f>
        <v>80808199</v>
      </c>
      <c r="E67" s="26" t="str">
        <f>IF(ISBLANK(DATA2!E67),"",IF(ISBLANK(DATA!C67),DATA2!E67,"Flag override: " &amp; TEXT(DATA!C67, "mm/dd/yyyy hh:mm") ))</f>
        <v/>
      </c>
      <c r="F67" s="27" t="str">
        <f>IF(ISBLANK(DATA2!F67),"",IF(ISBLANK(DATA!D67),DATA2!F67,"Flag override " &amp; TEXT(DATA!D67, "mm/dd/yyyy hh:mm")))</f>
        <v xml:space="preserve">[PRF]
Verbal Analog Pain Score [0-10] charted @ 06/26/23 15:13:00 was not charted within 45 min (30-policy + 15-grace period) BEFORE the Oral oxycoDONE charted @ 06/26/23 16:43:00 ||Hagerott RN, Jannell||
</v>
      </c>
      <c r="G67" s="27" t="str">
        <f>IF(DATA2!G67 = 0, "", IF(ISBLANK(DATA2!G67),"",IF(ISBLANK(DATA!E67),DATA2!G67,"Flag override " &amp; TEXT(DATA!E67,"mm/dd/yyyy hh:mm"))))</f>
        <v/>
      </c>
      <c r="H67" s="25" t="str">
        <f>IF(DATA!$G67&gt;0,TEXT(DATA!G67,"mm/dd/yyyy hh:mm"),"")</f>
        <v/>
      </c>
      <c r="I67" s="21"/>
    </row>
    <row r="68" spans="2:9" ht="23.25" x14ac:dyDescent="0.25">
      <c r="B68" s="25">
        <f t="shared" si="3"/>
        <v>60</v>
      </c>
      <c r="C68" s="25" t="str">
        <f>IF(NOT(ISBLANK(DATA2!C68)),DATA2!C68,"")</f>
        <v>DDDDDD, Jordan A</v>
      </c>
      <c r="D68" s="25">
        <f>IF(NOT(ISBLANK(DATA2!D68)),DATA2!D68,"")</f>
        <v>80808199</v>
      </c>
      <c r="E68" s="26" t="str">
        <f>IF(ISBLANK(DATA2!E68),"",IF(ISBLANK(DATA!C68),DATA2!E68,"Flag override: " &amp; TEXT(DATA!C68, "mm/dd/yyyy hh:mm") ))</f>
        <v/>
      </c>
      <c r="F68" s="27" t="str">
        <f>IF(ISBLANK(DATA2!F68),"",IF(ISBLANK(DATA!D68),DATA2!F68,"Flag override " &amp; TEXT(DATA!D68, "mm/dd/yyyy hh:mm")))</f>
        <v xml:space="preserve">996 minutes elapsed between pain scores, exceeding the 12-hr per-shift limit 
Previous score charted @ 06/26/23 16:52:00
Flagged score charted @ 06/27/23 09:28:00)
 ||Gering RN, Esther||
</v>
      </c>
      <c r="G68" s="27" t="str">
        <f>IF(DATA2!G68 = 0, "", IF(ISBLANK(DATA2!G68),"",IF(ISBLANK(DATA!E68),DATA2!G68,"Flag override " &amp; TEXT(DATA!E68,"mm/dd/yyyy hh:mm"))))</f>
        <v/>
      </c>
      <c r="H68" s="25" t="str">
        <f>IF(DATA!$G68&gt;0,TEXT(DATA!G68,"mm/dd/yyyy hh:mm"),"")</f>
        <v/>
      </c>
      <c r="I68" s="21"/>
    </row>
    <row r="69" spans="2:9" ht="23.25" x14ac:dyDescent="0.25">
      <c r="B69" s="25">
        <f t="shared" si="3"/>
        <v>61</v>
      </c>
      <c r="C69" s="25" t="str">
        <f>IF(NOT(ISBLANK(DATA2!C69)),DATA2!C69,"")</f>
        <v>OOOOOO, Kahleigh S</v>
      </c>
      <c r="D69" s="25">
        <f>IF(NOT(ISBLANK(DATA2!D69)),DATA2!D69,"")</f>
        <v>80808203</v>
      </c>
      <c r="E69" s="26" t="str">
        <f>IF(ISBLANK(DATA2!E69),"",IF(ISBLANK(DATA!C69),DATA2!E69,"Flag override: " &amp; TEXT(DATA!C69, "mm/dd/yyyy hh:mm") ))</f>
        <v/>
      </c>
      <c r="F69" s="27" t="str">
        <f>IF(ISBLANK(DATA2!F69),"",IF(ISBLANK(DATA!D69),DATA2!F69,"Flag override " &amp; TEXT(DATA!D69, "mm/dd/yyyy hh:mm")))</f>
        <v xml:space="preserve">177 minutes elapsed between pain scores while patient has active Epidural Infusion Spine, Lumbar within first 24 hours.
First infusion record charted @ 04/11/23 11:29:00
Previous score charted @ 04/11/23 14:42:00
Flagged score charted @ 04/11/23 17:39:00)
[IRF]
 ||Brevik RN, Sierra||
</v>
      </c>
      <c r="G69" s="27" t="str">
        <f>IF(DATA2!G69 = 0, "", IF(ISBLANK(DATA2!G69),"",IF(ISBLANK(DATA!E69),DATA2!G69,"Flag override " &amp; TEXT(DATA!E69,"mm/dd/yyyy hh:mm"))))</f>
        <v/>
      </c>
      <c r="H69" s="25" t="str">
        <f>IF(DATA!$G69&gt;0,TEXT(DATA!G69,"mm/dd/yyyy hh:mm"),"")</f>
        <v/>
      </c>
      <c r="I69" s="21"/>
    </row>
    <row r="70" spans="2:9" ht="23.25" x14ac:dyDescent="0.25">
      <c r="B70" s="25">
        <f t="shared" si="3"/>
        <v>62</v>
      </c>
      <c r="C70" s="25" t="str">
        <f>IF(NOT(ISBLANK(DATA2!C70)),DATA2!C70,"")</f>
        <v>OOOOOO, Kahleigh S</v>
      </c>
      <c r="D70" s="25">
        <f>IF(NOT(ISBLANK(DATA2!D70)),DATA2!D70,"")</f>
        <v>80808203</v>
      </c>
      <c r="E70" s="26" t="str">
        <f>IF(ISBLANK(DATA2!E70),"",IF(ISBLANK(DATA!C70),DATA2!E70,"Flag override: " &amp; TEXT(DATA!C70, "mm/dd/yyyy hh:mm") ))</f>
        <v/>
      </c>
      <c r="F70" s="27" t="str">
        <f>IF(ISBLANK(DATA2!F70),"",IF(ISBLANK(DATA!D70),DATA2!F70,"Flag override " &amp; TEXT(DATA!D70, "mm/dd/yyyy hh:mm")))</f>
        <v xml:space="preserve">[IRF]
The follow-up pain assessment charted after Epidural Infusion Spine, Lumbar rate/status change charted @ 04/12/23 02:51:00 was 60 minutes late.
The FLACC Revised, Score was due within 75min (60-policy + 15-grace period) but was not charted until 04/12/23 05:06:00 ||Linton RN, Chloe B||
</v>
      </c>
      <c r="G70" s="27" t="str">
        <f>IF(DATA2!G70 = 0, "", IF(ISBLANK(DATA2!G70),"",IF(ISBLANK(DATA!E70),DATA2!G70,"Flag override " &amp; TEXT(DATA!E70,"mm/dd/yyyy hh:mm"))))</f>
        <v/>
      </c>
      <c r="H70" s="25" t="str">
        <f>IF(DATA!$G70&gt;0,TEXT(DATA!G70,"mm/dd/yyyy hh:mm"),"")</f>
        <v/>
      </c>
      <c r="I70" s="21"/>
    </row>
    <row r="71" spans="2:9" ht="23.25" x14ac:dyDescent="0.25">
      <c r="B71" s="25">
        <f t="shared" si="3"/>
        <v>63</v>
      </c>
      <c r="C71" s="25" t="str">
        <f>IF(NOT(ISBLANK(DATA2!C71)),DATA2!C71,"")</f>
        <v>OOOOOO, Kahleigh S</v>
      </c>
      <c r="D71" s="25">
        <f>IF(NOT(ISBLANK(DATA2!D71)),DATA2!D71,"")</f>
        <v>80808203</v>
      </c>
      <c r="E71" s="26" t="str">
        <f>IF(ISBLANK(DATA2!E71),"",IF(ISBLANK(DATA!C71),DATA2!E71,"Flag override: " &amp; TEXT(DATA!C71, "mm/dd/yyyy hh:mm") ))</f>
        <v/>
      </c>
      <c r="F71" s="27" t="str">
        <f>IF(ISBLANK(DATA2!F71),"",IF(ISBLANK(DATA!D71),DATA2!F71,"Flag override " &amp; TEXT(DATA!D71, "mm/dd/yyyy hh:mm")))</f>
        <v xml:space="preserve">149 minutes elapsed between pain scores while patient has active Epidural Infusion Spine, Lumbar within first 24 hours.
First infusion record charted @ 04/11/23 11:29:00
Previous score charted @ 04/12/23 02:37:00
Flagged score charted @ 04/12/23 05:06:00)
[IRF]
 ||May RN, Caroline||
</v>
      </c>
      <c r="G71" s="27" t="str">
        <f>IF(DATA2!G71 = 0, "", IF(ISBLANK(DATA2!G71),"",IF(ISBLANK(DATA!E71),DATA2!G71,"Flag override " &amp; TEXT(DATA!E71,"mm/dd/yyyy hh:mm"))))</f>
        <v/>
      </c>
      <c r="H71" s="25" t="str">
        <f>IF(DATA!$G71&gt;0,TEXT(DATA!G71,"mm/dd/yyyy hh:mm"),"")</f>
        <v/>
      </c>
      <c r="I71" s="21"/>
    </row>
    <row r="72" spans="2:9" ht="23.25" x14ac:dyDescent="0.25">
      <c r="B72" s="25">
        <f t="shared" si="3"/>
        <v>64</v>
      </c>
      <c r="C72" s="25" t="str">
        <f>IF(NOT(ISBLANK(DATA2!C72)),DATA2!C72,"")</f>
        <v>OOOOOO, Kahleigh S</v>
      </c>
      <c r="D72" s="25">
        <f>IF(NOT(ISBLANK(DATA2!D72)),DATA2!D72,"")</f>
        <v>80808203</v>
      </c>
      <c r="E72" s="26" t="str">
        <f>IF(ISBLANK(DATA2!E72),"",IF(ISBLANK(DATA!C72),DATA2!E72,"Flag override: " &amp; TEXT(DATA!C72, "mm/dd/yyyy hh:mm") ))</f>
        <v/>
      </c>
      <c r="F72" s="27" t="str">
        <f>IF(ISBLANK(DATA2!F72),"",IF(ISBLANK(DATA!D72),DATA2!F72,"Flag override " &amp; TEXT(DATA!D72, "mm/dd/yyyy hh:mm")))</f>
        <v xml:space="preserve">138 minutes elapsed between pain scores while patient has active Epidural Infusion Spine, Lumbar within first 24 hours.
First infusion record charted @ 04/11/23 11:29:00
Previous score charted @ 04/12/23 05:06:00
Flagged score charted @ 04/12/23 07:24:00)
[IRF]
 ||Rice RN BSN, Jennifer D||
</v>
      </c>
      <c r="G72" s="27" t="str">
        <f>IF(DATA2!G72 = 0, "", IF(ISBLANK(DATA2!G72),"",IF(ISBLANK(DATA!E72),DATA2!G72,"Flag override " &amp; TEXT(DATA!E72,"mm/dd/yyyy hh:mm"))))</f>
        <v/>
      </c>
      <c r="H72" s="25" t="str">
        <f>IF(DATA!$G72&gt;0,TEXT(DATA!G72,"mm/dd/yyyy hh:mm"),"")</f>
        <v/>
      </c>
      <c r="I72" s="21"/>
    </row>
    <row r="73" spans="2:9" ht="23.25" x14ac:dyDescent="0.25">
      <c r="B73" s="25">
        <f t="shared" ref="B73:B136" si="4">IF(LEN(C73)&lt;1,"",IF(NOT(_xlfn.ISFORMULA(B72)),1,B72+1))</f>
        <v>65</v>
      </c>
      <c r="C73" s="25" t="str">
        <f>IF(NOT(ISBLANK(DATA2!C73)),DATA2!C73,"")</f>
        <v>OOOOOO, Kahleigh S</v>
      </c>
      <c r="D73" s="25">
        <f>IF(NOT(ISBLANK(DATA2!D73)),DATA2!D73,"")</f>
        <v>80808203</v>
      </c>
      <c r="E73" s="26" t="str">
        <f>IF(ISBLANK(DATA2!E73),"",IF(ISBLANK(DATA!C73),DATA2!E73,"Flag override: " &amp; TEXT(DATA!C73, "mm/dd/yyyy hh:mm") ))</f>
        <v/>
      </c>
      <c r="F73" s="27" t="str">
        <f>IF(ISBLANK(DATA2!F73),"",IF(ISBLANK(DATA!D73),DATA2!F73,"Flag override " &amp; TEXT(DATA!D73, "mm/dd/yyyy hh:mm")))</f>
        <v xml:space="preserve">[IRF]
Verbal Analog Pain Score [0-10] charted @ 04/12/23 11:02:00 was not charted within 45 min (30-policy + 15-grace period) BEFORE the Epidural Infusion Spine, Lumbar rate-change to (8 mL/hr) charted @ 04/12/23 12:48:00 ||Brevik RN, Sierra||
</v>
      </c>
      <c r="G73" s="27" t="str">
        <f>IF(DATA2!G73 = 0, "", IF(ISBLANK(DATA2!G73),"",IF(ISBLANK(DATA!E73),DATA2!G73,"Flag override " &amp; TEXT(DATA!E73,"mm/dd/yyyy hh:mm"))))</f>
        <v/>
      </c>
      <c r="H73" s="25" t="str">
        <f>IF(DATA!$G73&gt;0,TEXT(DATA!G73,"mm/dd/yyyy hh:mm"),"")</f>
        <v/>
      </c>
      <c r="I73" s="21"/>
    </row>
    <row r="74" spans="2:9" ht="23.25" x14ac:dyDescent="0.25">
      <c r="B74" s="25">
        <f t="shared" si="4"/>
        <v>66</v>
      </c>
      <c r="C74" s="25" t="str">
        <f>IF(NOT(ISBLANK(DATA2!C74)),DATA2!C74,"")</f>
        <v>OOOOOO, Kahleigh S</v>
      </c>
      <c r="D74" s="25">
        <f>IF(NOT(ISBLANK(DATA2!D74)),DATA2!D74,"")</f>
        <v>80808203</v>
      </c>
      <c r="E74" s="26" t="str">
        <f>IF(ISBLANK(DATA2!E74),"",IF(ISBLANK(DATA!C74),DATA2!E74,"Flag override: " &amp; TEXT(DATA!C74, "mm/dd/yyyy hh:mm") ))</f>
        <v/>
      </c>
      <c r="F74" s="27" t="str">
        <f>IF(ISBLANK(DATA2!F74),"",IF(ISBLANK(DATA!D74),DATA2!F74,"Flag override " &amp; TEXT(DATA!D74, "mm/dd/yyyy hh:mm")))</f>
        <v xml:space="preserve">[PRF]
FLACC Revised, Score charted @ 04/13/23 04:43:00 was not charted within 45 min (30-policy + 15-grace period) BEFORE the Oral oxycoDONE charted @ 04/13/23 09:28:00 ||Matheny RN, Jennifer||
</v>
      </c>
      <c r="G74" s="27" t="str">
        <f>IF(DATA2!G74 = 0, "", IF(ISBLANK(DATA2!G74),"",IF(ISBLANK(DATA!E74),DATA2!G74,"Flag override " &amp; TEXT(DATA!E74,"mm/dd/yyyy hh:mm"))))</f>
        <v/>
      </c>
      <c r="H74" s="25" t="str">
        <f>IF(DATA!$G74&gt;0,TEXT(DATA!G74,"mm/dd/yyyy hh:mm"),"")</f>
        <v/>
      </c>
      <c r="I74" s="21"/>
    </row>
    <row r="75" spans="2:9" ht="23.25" x14ac:dyDescent="0.25">
      <c r="B75" s="25">
        <f t="shared" si="4"/>
        <v>67</v>
      </c>
      <c r="C75" s="25" t="str">
        <f>IF(NOT(ISBLANK(DATA2!C75)),DATA2!C75,"")</f>
        <v>OOOOOO, Kahleigh S</v>
      </c>
      <c r="D75" s="25">
        <f>IF(NOT(ISBLANK(DATA2!D75)),DATA2!D75,"")</f>
        <v>80808203</v>
      </c>
      <c r="E75" s="26" t="str">
        <f>IF(ISBLANK(DATA2!E75),"",IF(ISBLANK(DATA!C75),DATA2!E75,"Flag override: " &amp; TEXT(DATA!C75, "mm/dd/yyyy hh:mm") ))</f>
        <v/>
      </c>
      <c r="F75" s="27" t="str">
        <f>IF(ISBLANK(DATA2!F75),"",IF(ISBLANK(DATA!D75),DATA2!F75,"Flag override " &amp; TEXT(DATA!D75, "mm/dd/yyyy hh:mm")))</f>
        <v xml:space="preserve">[PRF]
FLACC Revised, Score charted @ 04/13/23 10:34:00 was not charted within 45 min (30-policy + 15-grace period) BEFORE the Oral oxycoDONE charted @ 04/13/23 12:49:00 ||Matheny RN, Jennifer||
[PRF]
The follow-up pain assessment charted after Oral oxycoDONE charted @ 04/13/23 12:49:00 was 295 minutes late.
The Verbal Analog Pain Score [0-10] was due within 75min (60-policy + 15-grace period) but was not charted until 04/13/23 18:59:00 ||Matheny RN, Jennifer||
</v>
      </c>
      <c r="G75" s="27" t="str">
        <f>IF(DATA2!G75 = 0, "", IF(ISBLANK(DATA2!G75),"",IF(ISBLANK(DATA!E75),DATA2!G75,"Flag override " &amp; TEXT(DATA!E75,"mm/dd/yyyy hh:mm"))))</f>
        <v>The FLACC Revised, Score charted at 04/13/23 10:34:00 = 4
The Verbal Analog Pain Score [0-10] charted at 04/13/23 18:59:00 = 4
The Oral oxycoDONE given at 04/13/23 12:49:00 was ineffective.
[Narc]</v>
      </c>
      <c r="H75" s="25" t="str">
        <f>IF(DATA!$G75&gt;0,TEXT(DATA!G75,"mm/dd/yyyy hh:mm"),"")</f>
        <v/>
      </c>
      <c r="I75" s="21"/>
    </row>
    <row r="76" spans="2:9" ht="23.25" x14ac:dyDescent="0.25">
      <c r="B76" s="25">
        <f t="shared" si="4"/>
        <v>68</v>
      </c>
      <c r="C76" s="25" t="str">
        <f>IF(NOT(ISBLANK(DATA2!C76)),DATA2!C76,"")</f>
        <v>OOOOOO, Kahleigh S</v>
      </c>
      <c r="D76" s="25">
        <f>IF(NOT(ISBLANK(DATA2!D76)),DATA2!D76,"")</f>
        <v>80808203</v>
      </c>
      <c r="E76" s="26" t="str">
        <f>IF(ISBLANK(DATA2!E76),"",IF(ISBLANK(DATA!C76),DATA2!E76,"Flag override: " &amp; TEXT(DATA!C76, "mm/dd/yyyy hh:mm") ))</f>
        <v/>
      </c>
      <c r="F76" s="27" t="str">
        <f>IF(ISBLANK(DATA2!F76),"",IF(ISBLANK(DATA!D76),DATA2!F76,"Flag override " &amp; TEXT(DATA!D76, "mm/dd/yyyy hh:mm")))</f>
        <v xml:space="preserve">[PRF]
Verbal Analog Pain Score [0-10] charted @ 04/13/23 18:59:00 was not charted within 45 min (30-policy + 15-grace period) BEFORE the Oral oxycoDONE charted @ 04/14/23 00:11:00 ||Linton RN, Chloe B||
</v>
      </c>
      <c r="G76" s="27" t="str">
        <f>IF(DATA2!G76 = 0, "", IF(ISBLANK(DATA2!G76),"",IF(ISBLANK(DATA!E76),DATA2!G76,"Flag override " &amp; TEXT(DATA!E76,"mm/dd/yyyy hh:mm"))))</f>
        <v/>
      </c>
      <c r="H76" s="25" t="str">
        <f>IF(DATA!$G76&gt;0,TEXT(DATA!G76,"mm/dd/yyyy hh:mm"),"")</f>
        <v/>
      </c>
      <c r="I76" s="21"/>
    </row>
    <row r="77" spans="2:9" ht="23.25" x14ac:dyDescent="0.25">
      <c r="B77" s="25">
        <f t="shared" si="4"/>
        <v>69</v>
      </c>
      <c r="C77" s="25" t="str">
        <f>IF(NOT(ISBLANK(DATA2!C77)),DATA2!C77,"")</f>
        <v>OOOOOO, Kahleigh S</v>
      </c>
      <c r="D77" s="25">
        <f>IF(NOT(ISBLANK(DATA2!D77)),DATA2!D77,"")</f>
        <v>80808203</v>
      </c>
      <c r="E77" s="26" t="str">
        <f>IF(ISBLANK(DATA2!E77),"",IF(ISBLANK(DATA!C77),DATA2!E77,"Flag override: " &amp; TEXT(DATA!C77, "mm/dd/yyyy hh:mm") ))</f>
        <v/>
      </c>
      <c r="F77" s="27" t="str">
        <f>IF(ISBLANK(DATA2!F77),"",IF(ISBLANK(DATA!D77),DATA2!F77,"Flag override " &amp; TEXT(DATA!D77, "mm/dd/yyyy hh:mm")))</f>
        <v xml:space="preserve">[PRF]
Verbal Analog Pain Score [0-10] charted @ 04/14/23 07:01:00 was not charted within 45 min (30-policy + 15-grace period) BEFORE the Oral oxycoDONE charted @ 04/14/23 08:42:00 ||Sims RN, Brenda D.||
</v>
      </c>
      <c r="G77" s="27" t="str">
        <f>IF(DATA2!G77 = 0, "", IF(ISBLANK(DATA2!G77),"",IF(ISBLANK(DATA!E77),DATA2!G77,"Flag override " &amp; TEXT(DATA!E77,"mm/dd/yyyy hh:mm"))))</f>
        <v>The Verbal Analog Pain Score [0-10] charted at 04/14/23 07:01:00 = 8
The Verbal Analog Pain Score [0-10] charted at 04/14/23 09:00:00 = 9
The Oral oxycoDONE given at 04/14/23 08:42:00 was ineffective.
[Narc]</v>
      </c>
      <c r="H77" s="25" t="str">
        <f>IF(DATA!$G77&gt;0,TEXT(DATA!G77,"mm/dd/yyyy hh:mm"),"")</f>
        <v/>
      </c>
      <c r="I77" s="21"/>
    </row>
    <row r="78" spans="2:9" ht="23.25" x14ac:dyDescent="0.25">
      <c r="B78" s="25">
        <f t="shared" si="4"/>
        <v>70</v>
      </c>
      <c r="C78" s="25" t="str">
        <f>IF(NOT(ISBLANK(DATA2!C78)),DATA2!C78,"")</f>
        <v>QQQQQQ, Elyjah W</v>
      </c>
      <c r="D78" s="25">
        <f>IF(NOT(ISBLANK(DATA2!D78)),DATA2!D78,"")</f>
        <v>80808243</v>
      </c>
      <c r="E78" s="26" t="str">
        <f>IF(ISBLANK(DATA2!E78),"",IF(ISBLANK(DATA!C78),DATA2!E78,"Flag override: " &amp; TEXT(DATA!C78, "mm/dd/yyyy hh:mm") ))</f>
        <v/>
      </c>
      <c r="F78" s="27" t="str">
        <f>IF(ISBLANK(DATA2!F78),"",IF(ISBLANK(DATA!D78),DATA2!F78,"Flag override " &amp; TEXT(DATA!D78, "mm/dd/yyyy hh:mm")))</f>
        <v/>
      </c>
      <c r="G78" s="27" t="str">
        <f>IF(DATA2!G78 = 0, "", IF(ISBLANK(DATA2!G78),"",IF(ISBLANK(DATA!E78),DATA2!G78,"Flag override " &amp; TEXT(DATA!E78,"mm/dd/yyyy hh:mm"))))</f>
        <v>The FLACC Revised, Score charted at 06/14/23 08:07:00 = 2
The FLACC Revised, Score charted at 06/14/23 09:08:00 = 3
The Oral oxycoDONE given at 06/14/23 08:21:00 was ineffective.
[Narc]</v>
      </c>
      <c r="H78" s="25" t="str">
        <f>IF(DATA!$G78&gt;0,TEXT(DATA!G78,"mm/dd/yyyy hh:mm"),"")</f>
        <v/>
      </c>
      <c r="I78" s="21"/>
    </row>
    <row r="79" spans="2:9" ht="23.25" x14ac:dyDescent="0.25">
      <c r="B79" s="25">
        <f t="shared" si="4"/>
        <v>71</v>
      </c>
      <c r="C79" s="25" t="str">
        <f>IF(NOT(ISBLANK(DATA2!C79)),DATA2!C79,"")</f>
        <v>QQQQQQ, Elyjah W</v>
      </c>
      <c r="D79" s="25">
        <f>IF(NOT(ISBLANK(DATA2!D79)),DATA2!D79,"")</f>
        <v>80808243</v>
      </c>
      <c r="E79" s="26" t="str">
        <f>IF(ISBLANK(DATA2!E79),"",IF(ISBLANK(DATA!C79),DATA2!E79,"Flag override: " &amp; TEXT(DATA!C79, "mm/dd/yyyy hh:mm") ))</f>
        <v/>
      </c>
      <c r="F79" s="27" t="str">
        <f>IF(ISBLANK(DATA2!F79),"",IF(ISBLANK(DATA!D79),DATA2!F79,"Flag override " &amp; TEXT(DATA!D79, "mm/dd/yyyy hh:mm")))</f>
        <v xml:space="preserve">217 minutes elapsed between pain scores while patient has active Epidural Infusion Spine, Lumbar within first 24 hours.
First infusion record charted @ 06/13/23 13:23:00
Previous score charted @ 06/14/23 09:08:00
Flagged score charted @ 06/14/23 12:45:00)
[IRF]
 ||Matheny RN, Jennifer||
</v>
      </c>
      <c r="G79" s="27" t="str">
        <f>IF(DATA2!G79 = 0, "", IF(ISBLANK(DATA2!G79),"",IF(ISBLANK(DATA!E79),DATA2!G79,"Flag override " &amp; TEXT(DATA!E79,"mm/dd/yyyy hh:mm"))))</f>
        <v/>
      </c>
      <c r="H79" s="25" t="str">
        <f>IF(DATA!$G79&gt;0,TEXT(DATA!G79,"mm/dd/yyyy hh:mm"),"")</f>
        <v/>
      </c>
      <c r="I79" s="21"/>
    </row>
    <row r="80" spans="2:9" ht="23.25" x14ac:dyDescent="0.25">
      <c r="B80" s="25">
        <f t="shared" si="4"/>
        <v>72</v>
      </c>
      <c r="C80" s="25" t="str">
        <f>IF(NOT(ISBLANK(DATA2!C80)),DATA2!C80,"")</f>
        <v>QQQQQQ, Elyjah W</v>
      </c>
      <c r="D80" s="25">
        <f>IF(NOT(ISBLANK(DATA2!D80)),DATA2!D80,"")</f>
        <v>80808243</v>
      </c>
      <c r="E80" s="26" t="str">
        <f>IF(ISBLANK(DATA2!E80),"",IF(ISBLANK(DATA!C80),DATA2!E80,"Flag override: " &amp; TEXT(DATA!C80, "mm/dd/yyyy hh:mm") ))</f>
        <v/>
      </c>
      <c r="F80" s="27" t="str">
        <f>IF(ISBLANK(DATA2!F80),"",IF(ISBLANK(DATA!D80),DATA2!F80,"Flag override " &amp; TEXT(DATA!D80, "mm/dd/yyyy hh:mm")))</f>
        <v xml:space="preserve">[PRF]
The follow-up pain assessment charted after Oral oxycoDONE charted @ 06/14/23 12:53:00 was 6 minutes late.
The FLACC Revised, Score was due within 75min (60-policy + 15-grace period) but was not charted until 06/14/23 14:14:00 ||Matheny RN, Jennifer||
</v>
      </c>
      <c r="G80" s="27" t="str">
        <f>IF(DATA2!G80 = 0, "", IF(ISBLANK(DATA2!G80),"",IF(ISBLANK(DATA!E80),DATA2!G80,"Flag override " &amp; TEXT(DATA!E80,"mm/dd/yyyy hh:mm"))))</f>
        <v>The FLACC Revised, Score charted at 06/14/23 12:45:00 = 4
The FLACC Revised, Score charted at 06/14/23 14:14:00 = 8
The Oral oxycoDONE given at 06/14/23 12:53:00 was ineffective.
[Narc]</v>
      </c>
      <c r="H80" s="25" t="str">
        <f>IF(DATA!$G80&gt;0,TEXT(DATA!G80,"mm/dd/yyyy hh:mm"),"")</f>
        <v/>
      </c>
      <c r="I80" s="21"/>
    </row>
    <row r="81" spans="2:9" ht="23.25" x14ac:dyDescent="0.25">
      <c r="B81" s="25">
        <f t="shared" si="4"/>
        <v>73</v>
      </c>
      <c r="C81" s="25" t="str">
        <f>IF(NOT(ISBLANK(DATA2!C81)),DATA2!C81,"")</f>
        <v>QQQQQQ, Elyjah W</v>
      </c>
      <c r="D81" s="25">
        <f>IF(NOT(ISBLANK(DATA2!D81)),DATA2!D81,"")</f>
        <v>80808243</v>
      </c>
      <c r="E81" s="26" t="str">
        <f>IF(ISBLANK(DATA2!E81),"",IF(ISBLANK(DATA!C81),DATA2!E81,"Flag override: " &amp; TEXT(DATA!C81, "mm/dd/yyyy hh:mm") ))</f>
        <v/>
      </c>
      <c r="F81" s="27" t="str">
        <f>IF(ISBLANK(DATA2!F81),"",IF(ISBLANK(DATA!D81),DATA2!F81,"Flag override " &amp; TEXT(DATA!D81, "mm/dd/yyyy hh:mm")))</f>
        <v xml:space="preserve">[PRF]
FLACC Revised, Score charted @ 06/14/23 23:50:00 was not charted within 45 min (30-policy + 15-grace period) BEFORE the Oral oxycoDONE charted @ 06/15/23 02:50:00 ||Linton RN, Chloe B||
</v>
      </c>
      <c r="G81" s="27" t="str">
        <f>IF(DATA2!G81 = 0, "", IF(ISBLANK(DATA2!G81),"",IF(ISBLANK(DATA!E81),DATA2!G81,"Flag override " &amp; TEXT(DATA!E81,"mm/dd/yyyy hh:mm"))))</f>
        <v/>
      </c>
      <c r="H81" s="25" t="str">
        <f>IF(DATA!$G81&gt;0,TEXT(DATA!G81,"mm/dd/yyyy hh:mm"),"")</f>
        <v/>
      </c>
      <c r="I81" s="21"/>
    </row>
    <row r="82" spans="2:9" ht="23.25" x14ac:dyDescent="0.25">
      <c r="B82" s="25">
        <f t="shared" si="4"/>
        <v>74</v>
      </c>
      <c r="C82" s="25" t="str">
        <f>IF(NOT(ISBLANK(DATA2!C82)),DATA2!C82,"")</f>
        <v>QQQQQQ, Elyjah W</v>
      </c>
      <c r="D82" s="25">
        <f>IF(NOT(ISBLANK(DATA2!D82)),DATA2!D82,"")</f>
        <v>80808243</v>
      </c>
      <c r="E82" s="26" t="str">
        <f>IF(ISBLANK(DATA2!E82),"",IF(ISBLANK(DATA!C82),DATA2!E82,"Flag override: " &amp; TEXT(DATA!C82, "mm/dd/yyyy hh:mm") ))</f>
        <v/>
      </c>
      <c r="F82" s="27" t="str">
        <f>IF(ISBLANK(DATA2!F82),"",IF(ISBLANK(DATA!D82),DATA2!F82,"Flag override " &amp; TEXT(DATA!D82, "mm/dd/yyyy hh:mm")))</f>
        <v xml:space="preserve">[IRF]
FLACC Revised, Score charted @ 06/14/23 23:50:00 was not charted within 45 min (30-policy + 15-grace period) BEFORE the final Epidural Infusion Spine, Lumbar  record charted @ 06/15/23 03:00:00
Check for accurate d/c time. ||Linton RN, Chloe B||
</v>
      </c>
      <c r="G82" s="27" t="str">
        <f>IF(DATA2!G82 = 0, "", IF(ISBLANK(DATA2!G82),"",IF(ISBLANK(DATA!E82),DATA2!G82,"Flag override " &amp; TEXT(DATA!E82,"mm/dd/yyyy hh:mm"))))</f>
        <v/>
      </c>
      <c r="H82" s="25" t="str">
        <f>IF(DATA!$G82&gt;0,TEXT(DATA!G82,"mm/dd/yyyy hh:mm"),"")</f>
        <v/>
      </c>
      <c r="I82" s="21"/>
    </row>
    <row r="83" spans="2:9" ht="23.25" x14ac:dyDescent="0.25">
      <c r="B83" s="25">
        <f t="shared" si="4"/>
        <v>75</v>
      </c>
      <c r="C83" s="25" t="str">
        <f>IF(NOT(ISBLANK(DATA2!C83)),DATA2!C83,"")</f>
        <v>QQQQQQ, Elyjah W</v>
      </c>
      <c r="D83" s="25">
        <f>IF(NOT(ISBLANK(DATA2!D83)),DATA2!D83,"")</f>
        <v>80808243</v>
      </c>
      <c r="E83" s="26" t="str">
        <f>IF(ISBLANK(DATA2!E83),"",IF(ISBLANK(DATA!C83),DATA2!E83,"Flag override: " &amp; TEXT(DATA!C83, "mm/dd/yyyy hh:mm") ))</f>
        <v/>
      </c>
      <c r="F83" s="27" t="str">
        <f>IF(ISBLANK(DATA2!F83),"",IF(ISBLANK(DATA!D83),DATA2!F83,"Flag override " &amp; TEXT(DATA!D83, "mm/dd/yyyy hh:mm")))</f>
        <v xml:space="preserve">[PRF]
FLACC Revised, Score charted @ 06/15/23 03:55:00 was not charted within 45 min (30-policy + 15-grace period) BEFORE the Oral oxycoDONE charted @ 06/15/23 06:46:00 ||Matheny RN, Jennifer||
</v>
      </c>
      <c r="G83" s="27" t="str">
        <f>IF(DATA2!G83 = 0, "", IF(ISBLANK(DATA2!G83),"",IF(ISBLANK(DATA!E83),DATA2!G83,"Flag override " &amp; TEXT(DATA!E83,"mm/dd/yyyy hh:mm"))))</f>
        <v>The FLACC Revised, Score charted at 06/15/23 03:55:00 = 1
The FLACC Revised, Score charted at 06/15/23 07:07:00 = 1
The Oral oxycoDONE given at 06/15/23 06:46:00 was ineffective.
[Narc]</v>
      </c>
      <c r="H83" s="25" t="str">
        <f>IF(DATA!$G83&gt;0,TEXT(DATA!G83,"mm/dd/yyyy hh:mm"),"")</f>
        <v/>
      </c>
      <c r="I83" s="21"/>
    </row>
    <row r="84" spans="2:9" ht="23.25" x14ac:dyDescent="0.25">
      <c r="B84" s="25">
        <f t="shared" si="4"/>
        <v>76</v>
      </c>
      <c r="C84" s="25" t="str">
        <f>IF(NOT(ISBLANK(DATA2!C84)),DATA2!C84,"")</f>
        <v>QQQQQQ, Elyjah W</v>
      </c>
      <c r="D84" s="25">
        <f>IF(NOT(ISBLANK(DATA2!D84)),DATA2!D84,"")</f>
        <v>80808243</v>
      </c>
      <c r="E84" s="26" t="str">
        <f>IF(ISBLANK(DATA2!E84),"",IF(ISBLANK(DATA!C84),DATA2!E84,"Flag override: " &amp; TEXT(DATA!C84, "mm/dd/yyyy hh:mm") ))</f>
        <v/>
      </c>
      <c r="F84" s="27" t="str">
        <f>IF(ISBLANK(DATA2!F84),"",IF(ISBLANK(DATA!D84),DATA2!F84,"Flag override " &amp; TEXT(DATA!D84, "mm/dd/yyyy hh:mm")))</f>
        <v xml:space="preserve">[PRF]
FLACC Revised, Score charted @ 06/15/23 11:29:00 was not charted within 45 min (30-policy + 15-grace period) BEFORE the Oral oxycoDONE charted @ 06/15/23 14:16:00 ||Matheny RN, Jennifer||
</v>
      </c>
      <c r="G84" s="27" t="str">
        <f>IF(DATA2!G84 = 0, "", IF(ISBLANK(DATA2!G84),"",IF(ISBLANK(DATA!E84),DATA2!G84,"Flag override " &amp; TEXT(DATA!E84,"mm/dd/yyyy hh:mm"))))</f>
        <v>The FLACC Revised, Score charted at 06/15/23 11:29:00 = 3
The FLACC Revised, Score charted at 06/15/23 14:31:00 = 8
The Oral oxycoDONE given at 06/15/23 14:16:00 was ineffective.
[Narc]</v>
      </c>
      <c r="H84" s="25" t="str">
        <f>IF(DATA!$G84&gt;0,TEXT(DATA!G84,"mm/dd/yyyy hh:mm"),"")</f>
        <v/>
      </c>
      <c r="I84" s="21"/>
    </row>
    <row r="85" spans="2:9" ht="23.25" x14ac:dyDescent="0.25">
      <c r="B85" s="25">
        <f t="shared" si="4"/>
        <v>77</v>
      </c>
      <c r="C85" s="25" t="str">
        <f>IF(NOT(ISBLANK(DATA2!C85)),DATA2!C85,"")</f>
        <v>QQQQQQ, Elyjah W</v>
      </c>
      <c r="D85" s="25">
        <f>IF(NOT(ISBLANK(DATA2!D85)),DATA2!D85,"")</f>
        <v>80808243</v>
      </c>
      <c r="E85" s="26" t="str">
        <f>IF(ISBLANK(DATA2!E85),"",IF(ISBLANK(DATA!C85),DATA2!E85,"Flag override: " &amp; TEXT(DATA!C85, "mm/dd/yyyy hh:mm") ))</f>
        <v/>
      </c>
      <c r="F85" s="27" t="str">
        <f>IF(ISBLANK(DATA2!F85),"",IF(ISBLANK(DATA!D85),DATA2!F85,"Flag override " &amp; TEXT(DATA!D85, "mm/dd/yyyy hh:mm")))</f>
        <v/>
      </c>
      <c r="G85" s="27" t="str">
        <f>IF(DATA2!G85 = 0, "", IF(ISBLANK(DATA2!G85),"",IF(ISBLANK(DATA!E85),DATA2!G85,"Flag override " &amp; TEXT(DATA!E85,"mm/dd/yyyy hh:mm"))))</f>
        <v>The FLACC Revised, Score charted at 06/15/23 17:50:00 = 6
The FLACC Revised, Score charted at 06/15/23 18:35:00 = 10
The Oral oxycoDONE given at 06/15/23 18:13:00 was ineffective.
[Narc]</v>
      </c>
      <c r="H85" s="25" t="str">
        <f>IF(DATA!$G85&gt;0,TEXT(DATA!G85,"mm/dd/yyyy hh:mm"),"")</f>
        <v/>
      </c>
      <c r="I85" s="21"/>
    </row>
    <row r="86" spans="2:9" ht="23.25" x14ac:dyDescent="0.25">
      <c r="B86" s="25">
        <f t="shared" si="4"/>
        <v>78</v>
      </c>
      <c r="C86" s="25" t="str">
        <f>IF(NOT(ISBLANK(DATA2!C86)),DATA2!C86,"")</f>
        <v>QQQQQQ, Elyjah W</v>
      </c>
      <c r="D86" s="25">
        <f>IF(NOT(ISBLANK(DATA2!D86)),DATA2!D86,"")</f>
        <v>80808243</v>
      </c>
      <c r="E86" s="26" t="str">
        <f>IF(ISBLANK(DATA2!E86),"",IF(ISBLANK(DATA!C86),DATA2!E86,"Flag override: " &amp; TEXT(DATA!C86, "mm/dd/yyyy hh:mm") ))</f>
        <v/>
      </c>
      <c r="F86" s="27" t="str">
        <f>IF(ISBLANK(DATA2!F86),"",IF(ISBLANK(DATA!D86),DATA2!F86,"Flag override " &amp; TEXT(DATA!D86, "mm/dd/yyyy hh:mm")))</f>
        <v xml:space="preserve">[PRF]
FLACC Revised, Score charted @ 06/16/23 04:03:00 was not charted within 45 min (30-policy + 15-grace period) BEFORE the Oral oxycoDONE charted @ 06/16/23 07:24:00 ||Rouse BSN, RN, Gabrielle||
[PRF]
The follow-up pain assessment charted after Oral oxycoDONE charted @ 06/16/23 07:24:00 was 182 minutes late.
The FLACC Revised, Score was due within 75min (60-policy + 15-grace period) but was not charted until 06/16/23 11:41:00 ||Rouse BSN, RN, Gabrielle||
</v>
      </c>
      <c r="G86" s="27" t="str">
        <f>IF(DATA2!G86 = 0, "", IF(ISBLANK(DATA2!G86),"",IF(ISBLANK(DATA!E86),DATA2!G86,"Flag override " &amp; TEXT(DATA!E86,"mm/dd/yyyy hh:mm"))))</f>
        <v>The FLACC Revised, Score charted at 06/16/23 04:03:00 = 4
The FLACC Revised, Score charted at 06/16/23 11:41:00 = 6
The Oral oxycoDONE given at 06/16/23 07:24:00 was ineffective.
[Narc]</v>
      </c>
      <c r="H86" s="25" t="str">
        <f>IF(DATA!$G86&gt;0,TEXT(DATA!G86,"mm/dd/yyyy hh:mm"),"")</f>
        <v/>
      </c>
      <c r="I86" s="21"/>
    </row>
    <row r="87" spans="2:9" ht="23.25" x14ac:dyDescent="0.25">
      <c r="B87" s="25">
        <f t="shared" si="4"/>
        <v>79</v>
      </c>
      <c r="C87" s="25" t="str">
        <f>IF(NOT(ISBLANK(DATA2!C87)),DATA2!C87,"")</f>
        <v>QQQQQQ, Elyjah W</v>
      </c>
      <c r="D87" s="25">
        <f>IF(NOT(ISBLANK(DATA2!D87)),DATA2!D87,"")</f>
        <v>80808243</v>
      </c>
      <c r="E87" s="26" t="str">
        <f>IF(ISBLANK(DATA2!E87),"",IF(ISBLANK(DATA!C87),DATA2!E87,"Flag override: " &amp; TEXT(DATA!C87, "mm/dd/yyyy hh:mm") ))</f>
        <v/>
      </c>
      <c r="F87" s="27" t="str">
        <f>IF(ISBLANK(DATA2!F87),"",IF(ISBLANK(DATA!D87),DATA2!F87,"Flag override " &amp; TEXT(DATA!D87, "mm/dd/yyyy hh:mm")))</f>
        <v xml:space="preserve">[PRF]
FLACC Revised, Score charted @ 06/16/23 04:03:00 was not charted within 45 min (30-policy + 15-grace period) BEFORE the Oral oxycoDONE charted @ 06/16/23 11:15:00 ||Rouse BSN, RN, Gabrielle||
</v>
      </c>
      <c r="G87" s="27" t="str">
        <f>IF(DATA2!G87 = 0, "", IF(ISBLANK(DATA2!G87),"",IF(ISBLANK(DATA!E87),DATA2!G87,"Flag override " &amp; TEXT(DATA!E87,"mm/dd/yyyy hh:mm"))))</f>
        <v>The FLACC Revised, Score charted at 06/16/23 04:03:00 = 4
The FLACC Revised, Score charted at 06/16/23 11:41:00 = 6
The Oral oxycoDONE given at 06/16/23 11:15:00 was ineffective.
[Narc]</v>
      </c>
      <c r="H87" s="25" t="str">
        <f>IF(DATA!$G87&gt;0,TEXT(DATA!G87,"mm/dd/yyyy hh:mm"),"")</f>
        <v/>
      </c>
      <c r="I87" s="21"/>
    </row>
    <row r="88" spans="2:9" ht="23.25" x14ac:dyDescent="0.25">
      <c r="B88" s="25">
        <f t="shared" si="4"/>
        <v>80</v>
      </c>
      <c r="C88" s="25" t="str">
        <f>IF(NOT(ISBLANK(DATA2!C88)),DATA2!C88,"")</f>
        <v>QQQQQQ, Elyjah W</v>
      </c>
      <c r="D88" s="25">
        <f>IF(NOT(ISBLANK(DATA2!D88)),DATA2!D88,"")</f>
        <v>80808243</v>
      </c>
      <c r="E88" s="26" t="str">
        <f>IF(ISBLANK(DATA2!E88),"",IF(ISBLANK(DATA!C88),DATA2!E88,"Flag override: " &amp; TEXT(DATA!C88, "mm/dd/yyyy hh:mm") ))</f>
        <v/>
      </c>
      <c r="F88" s="27" t="str">
        <f>IF(ISBLANK(DATA2!F88),"",IF(ISBLANK(DATA!D88),DATA2!F88,"Flag override " &amp; TEXT(DATA!D88, "mm/dd/yyyy hh:mm")))</f>
        <v/>
      </c>
      <c r="G88" s="27" t="str">
        <f>IF(DATA2!G88 = 0, "", IF(ISBLANK(DATA2!G88),"",IF(ISBLANK(DATA!E88),DATA2!G88,"Flag override " &amp; TEXT(DATA!E88,"mm/dd/yyyy hh:mm"))))</f>
        <v>The FLACC Revised, Score charted at 06/16/23 14:48:00 = 4
The FLACC Revised, Score charted at 06/16/23 15:30:00 = 6
The Oral oxycoDONE given at 06/16/23 14:48:00 was ineffective.
[Narc]</v>
      </c>
      <c r="H88" s="25" t="str">
        <f>IF(DATA!$G88&gt;0,TEXT(DATA!G88,"mm/dd/yyyy hh:mm"),"")</f>
        <v/>
      </c>
      <c r="I88" s="21"/>
    </row>
    <row r="89" spans="2:9" ht="23.25" x14ac:dyDescent="0.25">
      <c r="B89" s="25">
        <f t="shared" si="4"/>
        <v>81</v>
      </c>
      <c r="C89" s="25" t="str">
        <f>IF(NOT(ISBLANK(DATA2!C89)),DATA2!C89,"")</f>
        <v>CCCCCC, Conner A</v>
      </c>
      <c r="D89" s="25">
        <f>IF(NOT(ISBLANK(DATA2!D89)),DATA2!D89,"")</f>
        <v>80808379</v>
      </c>
      <c r="E89" s="26" t="str">
        <f>IF(ISBLANK(DATA2!E89),"",IF(ISBLANK(DATA!C89),DATA2!E89,"Flag override: " &amp; TEXT(DATA!C89, "mm/dd/yyyy hh:mm") ))</f>
        <v/>
      </c>
      <c r="F89" s="27" t="str">
        <f>IF(ISBLANK(DATA2!F89),"",IF(ISBLANK(DATA!D89),DATA2!F89,"Flag override " &amp; TEXT(DATA!D89, "mm/dd/yyyy hh:mm")))</f>
        <v/>
      </c>
      <c r="G89" s="27" t="str">
        <f>IF(DATA2!G89 = 0, "", IF(ISBLANK(DATA2!G89),"",IF(ISBLANK(DATA!E89),DATA2!G89,"Flag override " &amp; TEXT(DATA!E89,"mm/dd/yyyy hh:mm"))))</f>
        <v>The Verbal Analog Pain Score [0-10] charted at 04/05/23 12:54:00 = 1
The Verbal Analog Pain Score [0-10] charted at 04/05/23 13:52:00 = 9
The Oral oxycoDONE given at 04/05/23 13:14:00 was ineffective.
[Narc]</v>
      </c>
      <c r="H89" s="25" t="str">
        <f>IF(DATA!$G89&gt;0,TEXT(DATA!G89,"mm/dd/yyyy hh:mm"),"")</f>
        <v/>
      </c>
      <c r="I89" s="21"/>
    </row>
    <row r="90" spans="2:9" ht="23.25" x14ac:dyDescent="0.25">
      <c r="B90" s="25">
        <f t="shared" si="4"/>
        <v>82</v>
      </c>
      <c r="C90" s="25" t="str">
        <f>IF(NOT(ISBLANK(DATA2!C90)),DATA2!C90,"")</f>
        <v>IIIIII, Jeremiah X</v>
      </c>
      <c r="D90" s="25">
        <f>IF(NOT(ISBLANK(DATA2!D90)),DATA2!D90,"")</f>
        <v>80808399</v>
      </c>
      <c r="E90" s="26" t="str">
        <f>IF(ISBLANK(DATA2!E90),"",IF(ISBLANK(DATA!C90),DATA2!E90,"Flag override: " &amp; TEXT(DATA!C90, "mm/dd/yyyy hh:mm") ))</f>
        <v/>
      </c>
      <c r="F90" s="27" t="str">
        <f>IF(ISBLANK(DATA2!F90),"",IF(ISBLANK(DATA!D90),DATA2!F90,"Flag override " &amp; TEXT(DATA!D90, "mm/dd/yyyy hh:mm")))</f>
        <v/>
      </c>
      <c r="G90" s="27" t="str">
        <f>IF(DATA2!G90 = 0, "", IF(ISBLANK(DATA2!G90),"",IF(ISBLANK(DATA!E90),DATA2!G90,"Flag override " &amp; TEXT(DATA!E90,"mm/dd/yyyy hh:mm"))))</f>
        <v>The FLACC Revised, Score charted at 06/16/23 14:18:00 = 2
The Verbal Analog Pain Score [0-10] charted at 06/16/23 14:57:00 = 8
The Oral acetaminophen-hydrocodone given at 06/16/23 14:27:00 was ineffective.
[Narc]</v>
      </c>
      <c r="H90" s="25" t="str">
        <f>IF(DATA!$G90&gt;0,TEXT(DATA!G90,"mm/dd/yyyy hh:mm"),"")</f>
        <v/>
      </c>
      <c r="I90" s="21"/>
    </row>
    <row r="91" spans="2:9" ht="23.25" x14ac:dyDescent="0.25">
      <c r="B91" s="25">
        <f t="shared" si="4"/>
        <v>83</v>
      </c>
      <c r="C91" s="25" t="str">
        <f>IF(NOT(ISBLANK(DATA2!C91)),DATA2!C91,"")</f>
        <v>WWWWWW, Colin J</v>
      </c>
      <c r="D91" s="25">
        <f>IF(NOT(ISBLANK(DATA2!D91)),DATA2!D91,"")</f>
        <v>80808585</v>
      </c>
      <c r="E91" s="26" t="str">
        <f>IF(ISBLANK(DATA2!E91),"",IF(ISBLANK(DATA!C91),DATA2!E91,"Flag override: " &amp; TEXT(DATA!C91, "mm/dd/yyyy hh:mm") ))</f>
        <v/>
      </c>
      <c r="F91" s="27" t="str">
        <f>IF(ISBLANK(DATA2!F91),"",IF(ISBLANK(DATA!D91),DATA2!F91,"Flag override " &amp; TEXT(DATA!D91, "mm/dd/yyyy hh:mm")))</f>
        <v xml:space="preserve">[IRF]
Verbal Analog Pain Score [0-10] charted @ 05/02/23 07:27:00 was not charted within 45 min (30-policy + 15-grace period) BEFORE the final Block Other - See Comment  record charted @ 05/02/23 14:15:00
Check for accurate d/c time. ||Kuhn RN, Melissa||
</v>
      </c>
      <c r="G91" s="27" t="str">
        <f>IF(DATA2!G91 = 0, "", IF(ISBLANK(DATA2!G91),"",IF(ISBLANK(DATA!E91),DATA2!G91,"Flag override " &amp; TEXT(DATA!E91,"mm/dd/yyyy hh:mm"))))</f>
        <v/>
      </c>
      <c r="H91" s="25" t="str">
        <f>IF(DATA!$G91&gt;0,TEXT(DATA!G91,"mm/dd/yyyy hh:mm"),"")</f>
        <v/>
      </c>
      <c r="I91" s="21"/>
    </row>
    <row r="92" spans="2:9" ht="23.25" x14ac:dyDescent="0.25">
      <c r="B92" s="25">
        <f t="shared" si="4"/>
        <v>84</v>
      </c>
      <c r="C92" s="25" t="str">
        <f>IF(NOT(ISBLANK(DATA2!C92)),DATA2!C92,"")</f>
        <v>TTTTTT, Marion R</v>
      </c>
      <c r="D92" s="25">
        <f>IF(NOT(ISBLANK(DATA2!D92)),DATA2!D92,"")</f>
        <v>80808641</v>
      </c>
      <c r="E92" s="26" t="str">
        <f>IF(ISBLANK(DATA2!E92),"",IF(ISBLANK(DATA!C92),DATA2!E92,"Flag override: " &amp; TEXT(DATA!C92, "mm/dd/yyyy hh:mm") ))</f>
        <v/>
      </c>
      <c r="F92" s="27" t="str">
        <f>IF(ISBLANK(DATA2!F92),"",IF(ISBLANK(DATA!D92),DATA2!F92,"Flag override " &amp; TEXT(DATA!D92, "mm/dd/yyyy hh:mm")))</f>
        <v xml:space="preserve">[PRF]
The follow-up pain assessment charted after IV morphine charted @ 06/21/23 14:24:00 was 5 minutes late.
The FLACC Revised, Score was due within 45min (30-policy + 15-grace period) but was not charted until 06/21/23 15:14:00 ||Brevik RN, Sierra||
</v>
      </c>
      <c r="G92" s="27" t="str">
        <f>IF(DATA2!G92 = 0, "", IF(ISBLANK(DATA2!G92),"",IF(ISBLANK(DATA!E92),DATA2!G92,"Flag override " &amp; TEXT(DATA!E92,"mm/dd/yyyy hh:mm"))))</f>
        <v/>
      </c>
      <c r="H92" s="25" t="str">
        <f>IF(DATA!$G92&gt;0,TEXT(DATA!G92,"mm/dd/yyyy hh:mm"),"")</f>
        <v/>
      </c>
      <c r="I92" s="21"/>
    </row>
    <row r="93" spans="2:9" ht="23.25" x14ac:dyDescent="0.25">
      <c r="B93" s="25">
        <f t="shared" si="4"/>
        <v>85</v>
      </c>
      <c r="C93" s="25" t="str">
        <f>IF(NOT(ISBLANK(DATA2!C93)),DATA2!C93,"")</f>
        <v>TTTTTT, Marion R</v>
      </c>
      <c r="D93" s="25">
        <f>IF(NOT(ISBLANK(DATA2!D93)),DATA2!D93,"")</f>
        <v>80808641</v>
      </c>
      <c r="E93" s="26" t="str">
        <f>IF(ISBLANK(DATA2!E93),"",IF(ISBLANK(DATA!C93),DATA2!E93,"Flag override: " &amp; TEXT(DATA!C93, "mm/dd/yyyy hh:mm") ))</f>
        <v/>
      </c>
      <c r="F93" s="27" t="str">
        <f>IF(ISBLANK(DATA2!F93),"",IF(ISBLANK(DATA!D93),DATA2!F93,"Flag override " &amp; TEXT(DATA!D93, "mm/dd/yyyy hh:mm")))</f>
        <v xml:space="preserve">[PRF]
FLACC Revised, Score charted @ 06/21/23 13:46:00 was not charted within 45 min (30-policy + 15-grace period) BEFORE the IV morphine charted @ 06/21/23 14:38:00 ||Brevik RN, Sierra||
</v>
      </c>
      <c r="G93" s="27" t="str">
        <f>IF(DATA2!G93 = 0, "", IF(ISBLANK(DATA2!G93),"",IF(ISBLANK(DATA!E93),DATA2!G93,"Flag override " &amp; TEXT(DATA!E93,"mm/dd/yyyy hh:mm"))))</f>
        <v/>
      </c>
      <c r="H93" s="25" t="str">
        <f>IF(DATA!$G93&gt;0,TEXT(DATA!G93,"mm/dd/yyyy hh:mm"),"")</f>
        <v/>
      </c>
      <c r="I93" s="21"/>
    </row>
    <row r="94" spans="2:9" ht="23.25" x14ac:dyDescent="0.25">
      <c r="B94" s="25">
        <f t="shared" si="4"/>
        <v>86</v>
      </c>
      <c r="C94" s="25" t="str">
        <f>IF(NOT(ISBLANK(DATA2!C94)),DATA2!C94,"")</f>
        <v>TTTTTT, Marion R</v>
      </c>
      <c r="D94" s="25">
        <f>IF(NOT(ISBLANK(DATA2!D94)),DATA2!D94,"")</f>
        <v>80808641</v>
      </c>
      <c r="E94" s="26" t="str">
        <f>IF(ISBLANK(DATA2!E94),"",IF(ISBLANK(DATA!C94),DATA2!E94,"Flag override: " &amp; TEXT(DATA!C94, "mm/dd/yyyy hh:mm") ))</f>
        <v/>
      </c>
      <c r="F94" s="27" t="str">
        <f>IF(ISBLANK(DATA2!F94),"",IF(ISBLANK(DATA!D94),DATA2!F94,"Flag override " &amp; TEXT(DATA!D94, "mm/dd/yyyy hh:mm")))</f>
        <v xml:space="preserve">[PRF]
FLACC Revised, Score charted @ 06/21/23 13:46:00 was not charted within 45 min (30-policy + 15-grace period) BEFORE the Oral oxycoDONE charted @ 06/21/23 14:45:00 ||Brevik RN, Sierra||
</v>
      </c>
      <c r="G94" s="27" t="str">
        <f>IF(DATA2!G94 = 0, "", IF(ISBLANK(DATA2!G94),"",IF(ISBLANK(DATA!E94),DATA2!G94,"Flag override " &amp; TEXT(DATA!E94,"mm/dd/yyyy hh:mm"))))</f>
        <v/>
      </c>
      <c r="H94" s="25" t="str">
        <f>IF(DATA!$G94&gt;0,TEXT(DATA!G94,"mm/dd/yyyy hh:mm"),"")</f>
        <v/>
      </c>
      <c r="I94" s="21"/>
    </row>
    <row r="95" spans="2:9" ht="23.25" x14ac:dyDescent="0.25">
      <c r="B95" s="25">
        <f t="shared" si="4"/>
        <v>87</v>
      </c>
      <c r="C95" s="25" t="str">
        <f>IF(NOT(ISBLANK(DATA2!C95)),DATA2!C95,"")</f>
        <v>TTTTTT, Marion R</v>
      </c>
      <c r="D95" s="25">
        <f>IF(NOT(ISBLANK(DATA2!D95)),DATA2!D95,"")</f>
        <v>80808641</v>
      </c>
      <c r="E95" s="26" t="str">
        <f>IF(ISBLANK(DATA2!E95),"",IF(ISBLANK(DATA!C95),DATA2!E95,"Flag override: " &amp; TEXT(DATA!C95, "mm/dd/yyyy hh:mm") ))</f>
        <v/>
      </c>
      <c r="F95" s="27" t="str">
        <f>IF(ISBLANK(DATA2!F95),"",IF(ISBLANK(DATA!D95),DATA2!F95,"Flag override " &amp; TEXT(DATA!D95, "mm/dd/yyyy hh:mm")))</f>
        <v xml:space="preserve">[PRF]
Verbal Analog Pain Score [0-10] charted @ 06/21/23 17:26:00 was not charted within 45 min (30-policy + 15-grace period) BEFORE the Oral oxycoDONE charted @ 06/21/23 18:58:00 ||Linton RN, Chloe B||
</v>
      </c>
      <c r="G95" s="27" t="str">
        <f>IF(DATA2!G95 = 0, "", IF(ISBLANK(DATA2!G95),"",IF(ISBLANK(DATA!E95),DATA2!G95,"Flag override " &amp; TEXT(DATA!E95,"mm/dd/yyyy hh:mm"))))</f>
        <v/>
      </c>
      <c r="H95" s="25" t="str">
        <f>IF(DATA!$G95&gt;0,TEXT(DATA!G95,"mm/dd/yyyy hh:mm"),"")</f>
        <v/>
      </c>
      <c r="I95" s="21"/>
    </row>
    <row r="96" spans="2:9" ht="23.25" x14ac:dyDescent="0.25">
      <c r="B96" s="25">
        <f t="shared" si="4"/>
        <v>88</v>
      </c>
      <c r="C96" s="25" t="str">
        <f>IF(NOT(ISBLANK(DATA2!C96)),DATA2!C96,"")</f>
        <v>TTTTTT, Marion R</v>
      </c>
      <c r="D96" s="25">
        <f>IF(NOT(ISBLANK(DATA2!D96)),DATA2!D96,"")</f>
        <v>80808641</v>
      </c>
      <c r="E96" s="26" t="str">
        <f>IF(ISBLANK(DATA2!E96),"",IF(ISBLANK(DATA!C96),DATA2!E96,"Flag override: " &amp; TEXT(DATA!C96, "mm/dd/yyyy hh:mm") ))</f>
        <v/>
      </c>
      <c r="F96" s="27" t="str">
        <f>IF(ISBLANK(DATA2!F96),"",IF(ISBLANK(DATA!D96),DATA2!F96,"Flag override " &amp; TEXT(DATA!D96, "mm/dd/yyyy hh:mm")))</f>
        <v xml:space="preserve">[PRF]
The follow-up pain assessment charted after Oral oxycoDONE charted @ 06/22/23 03:16:00 was 4 minutes late.
The Verbal Analog Pain Score [0-10] was due within 75min (60-policy + 15-grace period) but was not charted until 06/22/23 04:35:00 ||Linton RN, Chloe B||
</v>
      </c>
      <c r="G96" s="27" t="str">
        <f>IF(DATA2!G96 = 0, "", IF(ISBLANK(DATA2!G96),"",IF(ISBLANK(DATA!E96),DATA2!G96,"Flag override " &amp; TEXT(DATA!E96,"mm/dd/yyyy hh:mm"))))</f>
        <v/>
      </c>
      <c r="H96" s="25" t="str">
        <f>IF(DATA!$G96&gt;0,TEXT(DATA!G96,"mm/dd/yyyy hh:mm"),"")</f>
        <v/>
      </c>
      <c r="I96" s="21"/>
    </row>
    <row r="97" spans="2:26" ht="23.25" x14ac:dyDescent="0.25">
      <c r="B97" s="25">
        <f t="shared" si="4"/>
        <v>89</v>
      </c>
      <c r="C97" s="25" t="str">
        <f>IF(NOT(ISBLANK(DATA2!C97)),DATA2!C97,"")</f>
        <v>TTTTTT, Marion R</v>
      </c>
      <c r="D97" s="25">
        <f>IF(NOT(ISBLANK(DATA2!D97)),DATA2!D97,"")</f>
        <v>80808641</v>
      </c>
      <c r="E97" s="26" t="str">
        <f>IF(ISBLANK(DATA2!E97),"",IF(ISBLANK(DATA!C97),DATA2!E97,"Flag override: " &amp; TEXT(DATA!C97, "mm/dd/yyyy hh:mm") ))</f>
        <v/>
      </c>
      <c r="F97" s="27" t="str">
        <f>IF(ISBLANK(DATA2!F97),"",IF(ISBLANK(DATA!D97),DATA2!F97,"Flag override " &amp; TEXT(DATA!D97, "mm/dd/yyyy hh:mm")))</f>
        <v xml:space="preserve">[IRF]
Verbal Analog Pain Score [0-10] charted @ 06/22/23 04:35:00 was not charted within 45 min (30-policy + 15-grace period) BEFORE the final Block Other - See Comment  record charted @ 06/22/23 07:00:00
Check for accurate d/c time. ||Brevik RN, Sierra||
</v>
      </c>
      <c r="G97" s="27" t="str">
        <f>IF(DATA2!G97 = 0, "", IF(ISBLANK(DATA2!G97),"",IF(ISBLANK(DATA!E97),DATA2!G97,"Flag override " &amp; TEXT(DATA!E97,"mm/dd/yyyy hh:mm"))))</f>
        <v/>
      </c>
      <c r="H97" s="25" t="str">
        <f>IF(DATA!$G97&gt;0,TEXT(DATA!G97,"mm/dd/yyyy hh:mm"),"")</f>
        <v/>
      </c>
      <c r="I97" s="21"/>
    </row>
    <row r="98" spans="2:26" ht="23.25" x14ac:dyDescent="0.25">
      <c r="B98" s="25">
        <f t="shared" si="4"/>
        <v>90</v>
      </c>
      <c r="C98" s="25" t="str">
        <f>IF(NOT(ISBLANK(DATA2!C98)),DATA2!C98,"")</f>
        <v>KKKKKK, Sakyah M</v>
      </c>
      <c r="D98" s="25">
        <f>IF(NOT(ISBLANK(DATA2!D98)),DATA2!D98,"")</f>
        <v>80808773</v>
      </c>
      <c r="E98" s="26" t="str">
        <f>IF(ISBLANK(DATA2!E98),"",IF(ISBLANK(DATA!C98),DATA2!E98,"Flag override: " &amp; TEXT(DATA!C98, "mm/dd/yyyy hh:mm") ))</f>
        <v/>
      </c>
      <c r="F98" s="27" t="str">
        <f>IF(ISBLANK(DATA2!F98),"",IF(ISBLANK(DATA!D98),DATA2!F98,"Flag override " &amp; TEXT(DATA!D98, "mm/dd/yyyy hh:mm")))</f>
        <v xml:space="preserve">[PRF]
FLACC Revised, Score charted @ 05/01/23 14:30:00 was not charted within 45 min (30-policy + 15-grace period) BEFORE the Oral oxycoDONE charted @ 05/01/23 15:34:00 ||Rouse BSN, RN, Gabrielle||
</v>
      </c>
      <c r="G98" s="27" t="str">
        <f>IF(DATA2!G98 = 0, "", IF(ISBLANK(DATA2!G98),"",IF(ISBLANK(DATA!E98),DATA2!G98,"Flag override " &amp; TEXT(DATA!E98,"mm/dd/yyyy hh:mm"))))</f>
        <v/>
      </c>
      <c r="H98" s="25" t="str">
        <f>IF(DATA!$G98&gt;0,TEXT(DATA!G98,"mm/dd/yyyy hh:mm"),"")</f>
        <v/>
      </c>
      <c r="I98" s="21"/>
    </row>
    <row r="99" spans="2:26" ht="23.25" x14ac:dyDescent="0.25">
      <c r="B99" s="25">
        <f t="shared" si="4"/>
        <v>91</v>
      </c>
      <c r="C99" s="25" t="str">
        <f>IF(NOT(ISBLANK(DATA2!C99)),DATA2!C99,"")</f>
        <v>BBBBBB, Zane A</v>
      </c>
      <c r="D99" s="25">
        <f>IF(NOT(ISBLANK(DATA2!D99)),DATA2!D99,"")</f>
        <v>80808869</v>
      </c>
      <c r="E99" s="26" t="str">
        <f>IF(ISBLANK(DATA2!E99),"",IF(ISBLANK(DATA!C99),DATA2!E99,"Flag override: " &amp; TEXT(DATA!C99, "mm/dd/yyyy hh:mm") ))</f>
        <v/>
      </c>
      <c r="F99" s="27" t="str">
        <f>IF(ISBLANK(DATA2!F99),"",IF(ISBLANK(DATA!D99),DATA2!F99,"Flag override " &amp; TEXT(DATA!D99, "mm/dd/yyyy hh:mm")))</f>
        <v xml:space="preserve">258 minutes elapsed between pain scores while patient has active Epidural Infusion Spine, Lumbar within first 24 hours.
First infusion record charted @ 06/01/23 15:38:00
Previous score charted @ 06/01/23 22:52:00
Flagged score charted @ 06/02/23 03:10:00)
[IRF]
 ||Linton RN, Chloe B||
</v>
      </c>
      <c r="G99" s="27" t="str">
        <f>IF(DATA2!G99 = 0, "", IF(ISBLANK(DATA2!G99),"",IF(ISBLANK(DATA!E99),DATA2!G99,"Flag override " &amp; TEXT(DATA!E99,"mm/dd/yyyy hh:mm"))))</f>
        <v/>
      </c>
      <c r="H99" s="25" t="str">
        <f>IF(DATA!$G99&gt;0,TEXT(DATA!G99,"mm/dd/yyyy hh:mm"),"")</f>
        <v/>
      </c>
      <c r="I99" s="21"/>
    </row>
    <row r="100" spans="2:26" ht="405" x14ac:dyDescent="0.25">
      <c r="B100" s="25">
        <f t="shared" si="4"/>
        <v>92</v>
      </c>
      <c r="C100" s="25" t="str">
        <f>IF(NOT(ISBLANK(DATA2!C100)),DATA2!C100,"")</f>
        <v>BBBBBB, Zane A</v>
      </c>
      <c r="D100" s="25">
        <f>IF(NOT(ISBLANK(DATA2!D100)),DATA2!D100,"")</f>
        <v>80808869</v>
      </c>
      <c r="E100" s="26" t="str">
        <f>IF(ISBLANK(DATA2!E100),"",IF(ISBLANK(DATA!C100),DATA2!E100,"Flag override: " &amp; TEXT(DATA!C100, "mm/dd/yyyy hh:mm") ))</f>
        <v/>
      </c>
      <c r="F100" s="27" t="str">
        <f>IF(ISBLANK(DATA2!F100),"",IF(ISBLANK(DATA!D100),DATA2!F100,"Flag override " &amp; TEXT(DATA!D100, "mm/dd/yyyy hh:mm")))</f>
        <v xml:space="preserve">141 minutes elapsed between pain scores while patient has active Epidural Infusion Spine, Lumbar within first 24 hours.
First infusion record charted @ 06/01/23 15:38:00
Previous score charted @ 06/02/23 07:16:00
Flagged score charted @ 06/02/23 09:37:00)
[IRF]
 ||Kolhof RN, BSN, Audrey||
</v>
      </c>
      <c r="G100" s="27" t="str">
        <f>IF(DATA2!G100 = 0, "", IF(ISBLANK(DATA2!G100),"",IF(ISBLANK(DATA!E100),DATA2!G100,"Flag override " &amp; TEXT(DATA!E100,"mm/dd/yyyy hh:mm"))))</f>
        <v/>
      </c>
      <c r="H100" s="25" t="str">
        <f>IF(DATA!$G100&gt;0,TEXT(DATA!G100,"mm/dd/yyyy hh:mm"),"")</f>
        <v/>
      </c>
      <c r="I100" s="21"/>
      <c r="Z100" s="118" t="s">
        <v>226</v>
      </c>
    </row>
    <row r="101" spans="2:26" ht="23.25" x14ac:dyDescent="0.25">
      <c r="B101" s="25">
        <f t="shared" si="4"/>
        <v>93</v>
      </c>
      <c r="C101" s="25" t="str">
        <f>IF(NOT(ISBLANK(DATA2!C101)),DATA2!C101,"")</f>
        <v>BBBBBB, Zane A</v>
      </c>
      <c r="D101" s="25">
        <f>IF(NOT(ISBLANK(DATA2!D101)),DATA2!D101,"")</f>
        <v>80808869</v>
      </c>
      <c r="E101" s="26" t="str">
        <f>IF(ISBLANK(DATA2!E101),"",IF(ISBLANK(DATA!C101),DATA2!E101,"Flag override: " &amp; TEXT(DATA!C101, "mm/dd/yyyy hh:mm") ))</f>
        <v/>
      </c>
      <c r="F101" s="27" t="str">
        <f>IF(ISBLANK(DATA2!F101),"",IF(ISBLANK(DATA!D101),DATA2!F101,"Flag override " &amp; TEXT(DATA!D101, "mm/dd/yyyy hh:mm")))</f>
        <v xml:space="preserve">141 minutes elapsed between pain scores while patient has active Epidural Infusion Spine, Lumbar within first 24 hours.
First infusion record charted @ 06/01/23 15:38:00
Previous score charted @ 06/02/23 11:04:00
Flagged score charted @ 06/02/23 13:25:00)
[IRF]
 ||Kolhof RN, BSN, Audrey||
</v>
      </c>
      <c r="G101" s="27" t="str">
        <f>IF(DATA2!G101 = 0, "", IF(ISBLANK(DATA2!G101),"",IF(ISBLANK(DATA!E101),DATA2!G101,"Flag override " &amp; TEXT(DATA!E101,"mm/dd/yyyy hh:mm"))))</f>
        <v/>
      </c>
      <c r="H101" s="25" t="str">
        <f>IF(DATA!$G101&gt;0,TEXT(DATA!G101,"mm/dd/yyyy hh:mm"),"")</f>
        <v/>
      </c>
      <c r="I101" s="21"/>
    </row>
    <row r="102" spans="2:26" ht="23.25" x14ac:dyDescent="0.25">
      <c r="B102" s="25">
        <f t="shared" si="4"/>
        <v>94</v>
      </c>
      <c r="C102" s="25" t="str">
        <f>IF(NOT(ISBLANK(DATA2!C102)),DATA2!C102,"")</f>
        <v>BBBBBB, Zane A</v>
      </c>
      <c r="D102" s="25">
        <f>IF(NOT(ISBLANK(DATA2!D102)),DATA2!D102,"")</f>
        <v>80808869</v>
      </c>
      <c r="E102" s="26" t="str">
        <f>IF(ISBLANK(DATA2!E102),"",IF(ISBLANK(DATA!C102),DATA2!E102,"Flag override: " &amp; TEXT(DATA!C102, "mm/dd/yyyy hh:mm") ))</f>
        <v/>
      </c>
      <c r="F102" s="27" t="str">
        <f>IF(ISBLANK(DATA2!F102),"",IF(ISBLANK(DATA!D102),DATA2!F102,"Flag override " &amp; TEXT(DATA!D102, "mm/dd/yyyy hh:mm")))</f>
        <v xml:space="preserve">[IRF]
The follow-up pain assessment charted after Epidural Infusion Spine, Lumbar rate/status change charted @ 06/03/23 03:12:00 was 94 minutes late.
The FLACC Revised, Score was due within 75min (60-policy + 15-grace period) but was not charted until 06/03/23 06:01:00 ||Willer RN, Ella||
</v>
      </c>
      <c r="G102" s="27" t="str">
        <f>IF(DATA2!G102 = 0, "", IF(ISBLANK(DATA2!G102),"",IF(ISBLANK(DATA!E102),DATA2!G102,"Flag override " &amp; TEXT(DATA!E102,"mm/dd/yyyy hh:mm"))))</f>
        <v/>
      </c>
      <c r="H102" s="25" t="str">
        <f>IF(DATA!$G102&gt;0,TEXT(DATA!G102,"mm/dd/yyyy hh:mm"),"")</f>
        <v/>
      </c>
      <c r="I102" s="21"/>
    </row>
    <row r="103" spans="2:26" ht="23.25" x14ac:dyDescent="0.25">
      <c r="B103" s="25">
        <f t="shared" si="4"/>
        <v>95</v>
      </c>
      <c r="C103" s="25" t="str">
        <f>IF(NOT(ISBLANK(DATA2!C103)),DATA2!C103,"")</f>
        <v>BBBBBB, Zane A</v>
      </c>
      <c r="D103" s="25">
        <f>IF(NOT(ISBLANK(DATA2!D103)),DATA2!D103,"")</f>
        <v>80808869</v>
      </c>
      <c r="E103" s="26" t="str">
        <f>IF(ISBLANK(DATA2!E103),"",IF(ISBLANK(DATA!C103),DATA2!E103,"Flag override: " &amp; TEXT(DATA!C103, "mm/dd/yyyy hh:mm") ))</f>
        <v/>
      </c>
      <c r="F103" s="27" t="str">
        <f>IF(ISBLANK(DATA2!F103),"",IF(ISBLANK(DATA!D103),DATA2!F103,"Flag override " &amp; TEXT(DATA!D103, "mm/dd/yyyy hh:mm")))</f>
        <v/>
      </c>
      <c r="G103" s="27" t="str">
        <f>IF(DATA2!G103 = 0, "", IF(ISBLANK(DATA2!G103),"",IF(ISBLANK(DATA!E103),DATA2!G103,"Flag override " &amp; TEXT(DATA!E103,"mm/dd/yyyy hh:mm"))))</f>
        <v>The FLACC Revised, Score charted at 06/03/23 09:22:00 = 1
The FLACC Revised, Score charted at 06/03/23 10:13:00 = 5
The Oral oxycoDONE given at 06/03/23 09:36:00 was ineffective.
[Narc]</v>
      </c>
      <c r="H103" s="25" t="str">
        <f>IF(DATA!$G103&gt;0,TEXT(DATA!G103,"mm/dd/yyyy hh:mm"),"")</f>
        <v/>
      </c>
      <c r="I103" s="21"/>
    </row>
    <row r="104" spans="2:26" ht="23.25" x14ac:dyDescent="0.25">
      <c r="B104" s="25">
        <f t="shared" si="4"/>
        <v>96</v>
      </c>
      <c r="C104" s="25" t="str">
        <f>IF(NOT(ISBLANK(DATA2!C104)),DATA2!C104,"")</f>
        <v>BBBBBB, Zane A</v>
      </c>
      <c r="D104" s="25">
        <f>IF(NOT(ISBLANK(DATA2!D104)),DATA2!D104,"")</f>
        <v>80808869</v>
      </c>
      <c r="E104" s="26" t="str">
        <f>IF(ISBLANK(DATA2!E104),"",IF(ISBLANK(DATA!C104),DATA2!E104,"Flag override: " &amp; TEXT(DATA!C104, "mm/dd/yyyy hh:mm") ))</f>
        <v/>
      </c>
      <c r="F104" s="27" t="str">
        <f>IF(ISBLANK(DATA2!F104),"",IF(ISBLANK(DATA!D104),DATA2!F104,"Flag override " &amp; TEXT(DATA!D104, "mm/dd/yyyy hh:mm")))</f>
        <v xml:space="preserve">[PRF]
Verbal Analog Pain Score [0-10] charted @ 06/03/23 10:20:00 was not charted within 45 min (30-policy + 15-grace period) BEFORE the Oral oxycoDONE charted @ 06/03/23 12:09:00 ||Kolhof RN, BSN, Audrey||
</v>
      </c>
      <c r="G104" s="27" t="str">
        <f>IF(DATA2!G104 = 0, "", IF(ISBLANK(DATA2!G104),"",IF(ISBLANK(DATA!E104),DATA2!G104,"Flag override " &amp; TEXT(DATA!E104,"mm/dd/yyyy hh:mm"))))</f>
        <v>The Verbal Analog Pain Score [0-10] charted at 06/03/23 10:20:00 = 5
The FLACC Revised, Score charted at 06/03/23 12:39:00 = 9
The Oral oxycoDONE given at 06/03/23 12:09:00 was ineffective.
[Narc]</v>
      </c>
      <c r="H104" s="25" t="str">
        <f>IF(DATA!$G104&gt;0,TEXT(DATA!G104,"mm/dd/yyyy hh:mm"),"")</f>
        <v/>
      </c>
      <c r="I104" s="21"/>
    </row>
    <row r="105" spans="2:26" ht="23.25" x14ac:dyDescent="0.25">
      <c r="B105" s="25">
        <f t="shared" si="4"/>
        <v>97</v>
      </c>
      <c r="C105" s="25" t="str">
        <f>IF(NOT(ISBLANK(DATA2!C105)),DATA2!C105,"")</f>
        <v>BBBBBB, Zane A</v>
      </c>
      <c r="D105" s="25">
        <f>IF(NOT(ISBLANK(DATA2!D105)),DATA2!D105,"")</f>
        <v>80808869</v>
      </c>
      <c r="E105" s="26" t="str">
        <f>IF(ISBLANK(DATA2!E105),"",IF(ISBLANK(DATA!C105),DATA2!E105,"Flag override: " &amp; TEXT(DATA!C105, "mm/dd/yyyy hh:mm") ))</f>
        <v/>
      </c>
      <c r="F105" s="27" t="str">
        <f>IF(ISBLANK(DATA2!F105),"",IF(ISBLANK(DATA!D105),DATA2!F105,"Flag override " &amp; TEXT(DATA!D105, "mm/dd/yyyy hh:mm")))</f>
        <v/>
      </c>
      <c r="G105" s="27" t="str">
        <f>IF(DATA2!G105 = 0, "", IF(ISBLANK(DATA2!G105),"",IF(ISBLANK(DATA!E105),DATA2!G105,"Flag override " &amp; TEXT(DATA!E105,"mm/dd/yyyy hh:mm"))))</f>
        <v>The Verbal Analog Pain Score [0-10] charted at 06/03/23 15:08:00 = 1
The Verbal Analog Pain Score [0-10] charted at 06/03/23 16:00:00 = 8
The Oral oxycoDONE given at 06/03/23 15:23:00 was ineffective.
[Narc]</v>
      </c>
      <c r="H105" s="25" t="str">
        <f>IF(DATA!$G105&gt;0,TEXT(DATA!G105,"mm/dd/yyyy hh:mm"),"")</f>
        <v/>
      </c>
      <c r="I105" s="21"/>
    </row>
    <row r="106" spans="2:26" ht="23.25" x14ac:dyDescent="0.25">
      <c r="B106" s="25">
        <f t="shared" si="4"/>
        <v>98</v>
      </c>
      <c r="C106" s="25" t="str">
        <f>IF(NOT(ISBLANK(DATA2!C106)),DATA2!C106,"")</f>
        <v>BBBBBB, Zane A</v>
      </c>
      <c r="D106" s="25">
        <f>IF(NOT(ISBLANK(DATA2!D106)),DATA2!D106,"")</f>
        <v>80808869</v>
      </c>
      <c r="E106" s="26" t="str">
        <f>IF(ISBLANK(DATA2!E106),"",IF(ISBLANK(DATA!C106),DATA2!E106,"Flag override: " &amp; TEXT(DATA!C106, "mm/dd/yyyy hh:mm") ))</f>
        <v/>
      </c>
      <c r="F106" s="27" t="str">
        <f>IF(ISBLANK(DATA2!F106),"",IF(ISBLANK(DATA!D106),DATA2!F106,"Flag override " &amp; TEXT(DATA!D106, "mm/dd/yyyy hh:mm")))</f>
        <v/>
      </c>
      <c r="G106" s="27" t="str">
        <f>IF(DATA2!G106 = 0, "", IF(ISBLANK(DATA2!G106),"",IF(ISBLANK(DATA!E106),DATA2!G106,"Flag override " &amp; TEXT(DATA!E106,"mm/dd/yyyy hh:mm"))))</f>
        <v>The Verbal Analog Pain Score [0-10] charted at 06/03/23 18:59:00 = 5
The Verbal Analog Pain Score [0-10] charted at 06/03/23 19:58:00 = 9
The Oral oxycoDONE given at 06/03/23 19:03:00 was ineffective.
[Narc]</v>
      </c>
      <c r="H106" s="25" t="str">
        <f>IF(DATA!$G106&gt;0,TEXT(DATA!G106,"mm/dd/yyyy hh:mm"),"")</f>
        <v/>
      </c>
      <c r="I106" s="21"/>
    </row>
    <row r="107" spans="2:26" ht="23.25" x14ac:dyDescent="0.25">
      <c r="B107" s="25">
        <f t="shared" si="4"/>
        <v>99</v>
      </c>
      <c r="C107" s="25" t="str">
        <f>IF(NOT(ISBLANK(DATA2!C107)),DATA2!C107,"")</f>
        <v>BBBBBB, Zane A</v>
      </c>
      <c r="D107" s="25">
        <f>IF(NOT(ISBLANK(DATA2!D107)),DATA2!D107,"")</f>
        <v>80808869</v>
      </c>
      <c r="E107" s="26" t="str">
        <f>IF(ISBLANK(DATA2!E107),"",IF(ISBLANK(DATA!C107),DATA2!E107,"Flag override: " &amp; TEXT(DATA!C107, "mm/dd/yyyy hh:mm") ))</f>
        <v/>
      </c>
      <c r="F107" s="27" t="str">
        <f>IF(ISBLANK(DATA2!F107),"",IF(ISBLANK(DATA!D107),DATA2!F107,"Flag override " &amp; TEXT(DATA!D107, "mm/dd/yyyy hh:mm")))</f>
        <v xml:space="preserve">[PRF]
The follow-up pain assessment charted after Oral oxycoDONE charted @ 06/03/23 22:17:00 was 116 minutes late.
The FLACC Revised, Score was due within 75min (60-policy + 15-grace period) but was not charted until 06/04/23 01:28:00 ||Richardson RN, Gwynne||
</v>
      </c>
      <c r="G107" s="27" t="str">
        <f>IF(DATA2!G107 = 0, "", IF(ISBLANK(DATA2!G107),"",IF(ISBLANK(DATA!E107),DATA2!G107,"Flag override " &amp; TEXT(DATA!E107,"mm/dd/yyyy hh:mm"))))</f>
        <v>The Verbal Analog Pain Score [0-10] charted at 06/03/23 22:15:00 = 8
The FLACC Revised, Score charted at 06/04/23 01:28:00 = 8
The Oral oxycoDONE given at 06/03/23 22:17:00 was ineffective.
[Narc]</v>
      </c>
      <c r="H107" s="25" t="str">
        <f>IF(DATA!$G107&gt;0,TEXT(DATA!G107,"mm/dd/yyyy hh:mm"),"")</f>
        <v/>
      </c>
      <c r="I107" s="21"/>
    </row>
    <row r="108" spans="2:26" ht="23.25" x14ac:dyDescent="0.25">
      <c r="B108" s="25">
        <f t="shared" si="4"/>
        <v>100</v>
      </c>
      <c r="C108" s="25" t="str">
        <f>IF(NOT(ISBLANK(DATA2!C108)),DATA2!C108,"")</f>
        <v>BBBBBB, Zane A</v>
      </c>
      <c r="D108" s="25">
        <f>IF(NOT(ISBLANK(DATA2!D108)),DATA2!D108,"")</f>
        <v>80808869</v>
      </c>
      <c r="E108" s="26" t="str">
        <f>IF(ISBLANK(DATA2!E108),"",IF(ISBLANK(DATA!C108),DATA2!E108,"Flag override: " &amp; TEXT(DATA!C108, "mm/dd/yyyy hh:mm") ))</f>
        <v/>
      </c>
      <c r="F108" s="27" t="str">
        <f>IF(ISBLANK(DATA2!F108),"",IF(ISBLANK(DATA!D108),DATA2!F108,"Flag override " &amp; TEXT(DATA!D108, "mm/dd/yyyy hh:mm")))</f>
        <v xml:space="preserve">[PRF]
Verbal Analog Pain Score [0-10] charted @ 06/03/23 22:15:00 was not charted within 45 min (30-policy + 15-grace period) BEFORE the Oral oxycoDONE charted @ 06/04/23 01:08:00 ||Richardson RN, Gwynne||
</v>
      </c>
      <c r="G108" s="27" t="str">
        <f>IF(DATA2!G108 = 0, "", IF(ISBLANK(DATA2!G108),"",IF(ISBLANK(DATA!E108),DATA2!G108,"Flag override " &amp; TEXT(DATA!E108,"mm/dd/yyyy hh:mm"))))</f>
        <v>The Verbal Analog Pain Score [0-10] charted at 06/03/23 22:15:00 = 8
The FLACC Revised, Score charted at 06/04/23 01:28:00 = 8
The Oral oxycoDONE given at 06/04/23 01:08:00 was ineffective.
[Narc]</v>
      </c>
      <c r="H108" s="25" t="str">
        <f>IF(DATA!$G108&gt;0,TEXT(DATA!G108,"mm/dd/yyyy hh:mm"),"")</f>
        <v/>
      </c>
      <c r="I108" s="21"/>
    </row>
    <row r="109" spans="2:26" ht="23.25" x14ac:dyDescent="0.25">
      <c r="B109" s="25">
        <f t="shared" si="4"/>
        <v>101</v>
      </c>
      <c r="C109" s="25" t="str">
        <f>IF(NOT(ISBLANK(DATA2!C109)),DATA2!C109,"")</f>
        <v>BBBBBB, Zane A</v>
      </c>
      <c r="D109" s="25">
        <f>IF(NOT(ISBLANK(DATA2!D109)),DATA2!D109,"")</f>
        <v>80808869</v>
      </c>
      <c r="E109" s="26" t="str">
        <f>IF(ISBLANK(DATA2!E109),"",IF(ISBLANK(DATA!C109),DATA2!E109,"Flag override: " &amp; TEXT(DATA!C109, "mm/dd/yyyy hh:mm") ))</f>
        <v/>
      </c>
      <c r="F109" s="27" t="str">
        <f>IF(ISBLANK(DATA2!F109),"",IF(ISBLANK(DATA!D109),DATA2!F109,"Flag override " &amp; TEXT(DATA!D109, "mm/dd/yyyy hh:mm")))</f>
        <v/>
      </c>
      <c r="G109" s="27" t="str">
        <f>IF(DATA2!G109 = 0, "", IF(ISBLANK(DATA2!G109),"",IF(ISBLANK(DATA!E109),DATA2!G109,"Flag override " &amp; TEXT(DATA!E109,"mm/dd/yyyy hh:mm"))))</f>
        <v>The FLACC Revised, Score charted at 06/04/23 07:35:00 = 9
The Verbal Analog Pain Score [0-10] charted at 06/04/23 08:03:00 = 10
The Oral oxycoDONE given at 06/04/23 07:54:00 was ineffective.
[Narc]</v>
      </c>
      <c r="H109" s="25" t="str">
        <f>IF(DATA!$G109&gt;0,TEXT(DATA!G109,"mm/dd/yyyy hh:mm"),"")</f>
        <v/>
      </c>
      <c r="I109" s="21"/>
    </row>
    <row r="110" spans="2:26" ht="23.25" x14ac:dyDescent="0.25">
      <c r="B110" s="25">
        <f t="shared" si="4"/>
        <v>102</v>
      </c>
      <c r="C110" s="25" t="str">
        <f>IF(NOT(ISBLANK(DATA2!C110)),DATA2!C110,"")</f>
        <v>MMMMMM, Jazmyne K</v>
      </c>
      <c r="D110" s="25">
        <f>IF(NOT(ISBLANK(DATA2!D110)),DATA2!D110,"")</f>
        <v>80808901</v>
      </c>
      <c r="E110" s="26" t="str">
        <f>IF(ISBLANK(DATA2!E110),"",IF(ISBLANK(DATA!C110),DATA2!E110,"Flag override: " &amp; TEXT(DATA!C110, "mm/dd/yyyy hh:mm") ))</f>
        <v/>
      </c>
      <c r="F110" s="27" t="str">
        <f>IF(ISBLANK(DATA2!F110),"",IF(ISBLANK(DATA!D110),DATA2!F110,"Flag override " &amp; TEXT(DATA!D110, "mm/dd/yyyy hh:mm")))</f>
        <v xml:space="preserve">218 minutes elapsed between pain scores while patient has active Block Other - See Comment within first 24 hours.
First infusion record charted @ 05/31/23 14:22:00
Previous score charted @ 05/31/23 19:20:00
Flagged score charted @ 05/31/23 22:58:00)
[IRF]
 ||Linton RN, Chloe B||
</v>
      </c>
      <c r="G110" s="27" t="str">
        <f>IF(DATA2!G110 = 0, "", IF(ISBLANK(DATA2!G110),"",IF(ISBLANK(DATA!E110),DATA2!G110,"Flag override " &amp; TEXT(DATA!E110,"mm/dd/yyyy hh:mm"))))</f>
        <v/>
      </c>
      <c r="H110" s="25" t="str">
        <f>IF(DATA!$G110&gt;0,TEXT(DATA!G110,"mm/dd/yyyy hh:mm"),"")</f>
        <v/>
      </c>
      <c r="I110" s="21"/>
    </row>
    <row r="111" spans="2:26" ht="23.25" x14ac:dyDescent="0.25">
      <c r="B111" s="25">
        <f t="shared" si="4"/>
        <v>103</v>
      </c>
      <c r="C111" s="25" t="str">
        <f>IF(NOT(ISBLANK(DATA2!C111)),DATA2!C111,"")</f>
        <v>MMMMMM, Jazmyne K</v>
      </c>
      <c r="D111" s="25">
        <f>IF(NOT(ISBLANK(DATA2!D111)),DATA2!D111,"")</f>
        <v>80808901</v>
      </c>
      <c r="E111" s="26" t="str">
        <f>IF(ISBLANK(DATA2!E111),"",IF(ISBLANK(DATA!C111),DATA2!E111,"Flag override: " &amp; TEXT(DATA!C111, "mm/dd/yyyy hh:mm") ))</f>
        <v/>
      </c>
      <c r="F111" s="27" t="str">
        <f>IF(ISBLANK(DATA2!F111),"",IF(ISBLANK(DATA!D111),DATA2!F111,"Flag override " &amp; TEXT(DATA!D111, "mm/dd/yyyy hh:mm")))</f>
        <v xml:space="preserve">[PRF]
FLACC Revised, Score charted @ 06/01/23 06:51:00 was not charted within 45 min (30-policy + 15-grace period) BEFORE the Oral oxycoDONE charted @ 06/01/23 08:19:00 ||Gering RN, Esther||
</v>
      </c>
      <c r="G111" s="27" t="str">
        <f>IF(DATA2!G111 = 0, "", IF(ISBLANK(DATA2!G111),"",IF(ISBLANK(DATA!E111),DATA2!G111,"Flag override " &amp; TEXT(DATA!E111,"mm/dd/yyyy hh:mm"))))</f>
        <v>The FLACC Revised, Score charted at 06/01/23 06:51:00 = 9
The Verbal Analog Pain Score [0-10] charted at 06/01/23 08:51:00 = 10
The Oral oxycoDONE given at 06/01/23 08:19:00 was ineffective.
[Narc]</v>
      </c>
      <c r="H111" s="25" t="str">
        <f>IF(DATA!$G111&gt;0,TEXT(DATA!G111,"mm/dd/yyyy hh:mm"),"")</f>
        <v/>
      </c>
      <c r="I111" s="21"/>
    </row>
    <row r="112" spans="2:26" ht="23.25" x14ac:dyDescent="0.25">
      <c r="B112" s="25">
        <f t="shared" si="4"/>
        <v>104</v>
      </c>
      <c r="C112" s="25" t="str">
        <f>IF(NOT(ISBLANK(DATA2!C112)),DATA2!C112,"")</f>
        <v>RRRRRR, Victoria L A</v>
      </c>
      <c r="D112" s="25">
        <f>IF(NOT(ISBLANK(DATA2!D112)),DATA2!D112,"")</f>
        <v>80808926</v>
      </c>
      <c r="E112" s="26" t="str">
        <f>IF(ISBLANK(DATA2!E112),"",IF(ISBLANK(DATA!C112),DATA2!E112,"Flag override: " &amp; TEXT(DATA!C112, "mm/dd/yyyy hh:mm") ))</f>
        <v/>
      </c>
      <c r="F112" s="27" t="str">
        <f>IF(ISBLANK(DATA2!F112),"",IF(ISBLANK(DATA!D112),DATA2!F112,"Flag override " &amp; TEXT(DATA!D112, "mm/dd/yyyy hh:mm")))</f>
        <v xml:space="preserve">[PRF]
Verbal Analog Pain Score [0-10] charted @ 05/23/23 18:55:00 was not charted within 45 min (30-policy + 15-grace period) BEFORE the Oral oxycoDONE charted @ 05/23/23 20:02:00 ||Sims RN, Brenda D.||
</v>
      </c>
      <c r="G112" s="27" t="str">
        <f>IF(DATA2!G112 = 0, "", IF(ISBLANK(DATA2!G112),"",IF(ISBLANK(DATA!E112),DATA2!G112,"Flag override " &amp; TEXT(DATA!E112,"mm/dd/yyyy hh:mm"))))</f>
        <v>The Verbal Analog Pain Score [0-10] charted at 05/23/23 18:55:00 = 7
The Verbal Analog Pain Score [0-10] charted at 05/23/23 20:26:00 = 10
The Oral oxycoDONE given at 05/23/23 20:02:00 was ineffective.
[Narc]</v>
      </c>
      <c r="H112" s="25" t="str">
        <f>IF(DATA!$G112&gt;0,TEXT(DATA!G112,"mm/dd/yyyy hh:mm"),"")</f>
        <v/>
      </c>
      <c r="I112" s="21"/>
    </row>
    <row r="113" spans="2:9" ht="23.25" x14ac:dyDescent="0.25">
      <c r="B113" s="25">
        <f t="shared" si="4"/>
        <v>105</v>
      </c>
      <c r="C113" s="25" t="str">
        <f>IF(NOT(ISBLANK(DATA2!C113)),DATA2!C113,"")</f>
        <v>RRRRRR, Victoria L A</v>
      </c>
      <c r="D113" s="25">
        <f>IF(NOT(ISBLANK(DATA2!D113)),DATA2!D113,"")</f>
        <v>80808926</v>
      </c>
      <c r="E113" s="26" t="str">
        <f>IF(ISBLANK(DATA2!E113),"",IF(ISBLANK(DATA!C113),DATA2!E113,"Flag override: " &amp; TEXT(DATA!C113, "mm/dd/yyyy hh:mm") ))</f>
        <v/>
      </c>
      <c r="F113" s="27" t="str">
        <f>IF(ISBLANK(DATA2!F113),"",IF(ISBLANK(DATA!D113),DATA2!F113,"Flag override " &amp; TEXT(DATA!D113, "mm/dd/yyyy hh:mm")))</f>
        <v xml:space="preserve">[IRF]
FLACC Revised, Score charted @ 05/24/23 04:46:00 was not charted within 45 min (30-policy + 15-grace period) BEFORE the final Block Right Popliteal Nerve  record charted @ 05/24/23 07:00:00
Check for accurate d/c time. ||Rice RN BSN, Jennifer D||
[IRF]
The follow-up pain assessment charted after Block Right Popliteal Nerve rate/status change charted @ 05/24/23 07:00:00 was 52 minutes late.
The FLACC Revised, Score was due within 75min (60-policy + 15-grace period) but was not charted until 05/24/23 09:07:00 ||Rice RN BSN, Jennifer D||
</v>
      </c>
      <c r="G113" s="27" t="str">
        <f>IF(DATA2!G113 = 0, "", IF(ISBLANK(DATA2!G113),"",IF(ISBLANK(DATA!E113),DATA2!G113,"Flag override " &amp; TEXT(DATA!E113,"mm/dd/yyyy hh:mm"))))</f>
        <v/>
      </c>
      <c r="H113" s="25" t="str">
        <f>IF(DATA!$G113&gt;0,TEXT(DATA!G113,"mm/dd/yyyy hh:mm"),"")</f>
        <v/>
      </c>
      <c r="I113" s="21"/>
    </row>
    <row r="114" spans="2:9" ht="23.25" x14ac:dyDescent="0.25">
      <c r="B114" s="25">
        <f t="shared" si="4"/>
        <v>106</v>
      </c>
      <c r="C114" s="25" t="str">
        <f>IF(NOT(ISBLANK(DATA2!C114)),DATA2!C114,"")</f>
        <v>HHHHHH, Jayden T</v>
      </c>
      <c r="D114" s="25">
        <f>IF(NOT(ISBLANK(DATA2!D114)),DATA2!D114,"")</f>
        <v>80808955</v>
      </c>
      <c r="E114" s="26" t="str">
        <f>IF(ISBLANK(DATA2!E114),"",IF(ISBLANK(DATA!C114),DATA2!E114,"Flag override: " &amp; TEXT(DATA!C114, "mm/dd/yyyy hh:mm") ))</f>
        <v/>
      </c>
      <c r="F114" s="27" t="str">
        <f>IF(ISBLANK(DATA2!F114),"",IF(ISBLANK(DATA!D114),DATA2!F114,"Flag override " &amp; TEXT(DATA!D114, "mm/dd/yyyy hh:mm")))</f>
        <v xml:space="preserve">136 minutes elapsed between pain scores while patient has active Epidural Infusion Spine, Thoracic within first 24 hours.
First infusion record charted @ 04/20/23 11:51:00
Previous score charted @ 04/20/23 14:56:00
Flagged score charted @ 04/20/23 17:12:00)
[IRF]
 ||Gering RN, Esther||
</v>
      </c>
      <c r="G114" s="27" t="str">
        <f>IF(DATA2!G114 = 0, "", IF(ISBLANK(DATA2!G114),"",IF(ISBLANK(DATA!E114),DATA2!G114,"Flag override " &amp; TEXT(DATA!E114,"mm/dd/yyyy hh:mm"))))</f>
        <v/>
      </c>
      <c r="H114" s="25" t="str">
        <f>IF(DATA!$G114&gt;0,TEXT(DATA!G114,"mm/dd/yyyy hh:mm"),"")</f>
        <v/>
      </c>
      <c r="I114" s="21"/>
    </row>
    <row r="115" spans="2:9" ht="23.25" x14ac:dyDescent="0.25">
      <c r="B115" s="25">
        <f t="shared" si="4"/>
        <v>107</v>
      </c>
      <c r="C115" s="25" t="str">
        <f>IF(NOT(ISBLANK(DATA2!C115)),DATA2!C115,"")</f>
        <v>HHHHHH, Jayden T</v>
      </c>
      <c r="D115" s="25">
        <f>IF(NOT(ISBLANK(DATA2!D115)),DATA2!D115,"")</f>
        <v>80808955</v>
      </c>
      <c r="E115" s="26" t="str">
        <f>IF(ISBLANK(DATA2!E115),"",IF(ISBLANK(DATA!C115),DATA2!E115,"Flag override: " &amp; TEXT(DATA!C115, "mm/dd/yyyy hh:mm") ))</f>
        <v/>
      </c>
      <c r="F115" s="27" t="str">
        <f>IF(ISBLANK(DATA2!F115),"",IF(ISBLANK(DATA!D115),DATA2!F115,"Flag override " &amp; TEXT(DATA!D115, "mm/dd/yyyy hh:mm")))</f>
        <v xml:space="preserve">478 minutes elapsed between pain scores while patient has active Epidural Infusion Spine, Thoracic within first 24 hours.
First infusion record charted @ 04/20/23 11:51:00
Previous score charted @ 04/20/23 17:12:00
Flagged score charted @ 04/21/23 01:10:00)
[IRF]
 ||Linton RN, Chloe B||
</v>
      </c>
      <c r="G115" s="27" t="str">
        <f>IF(DATA2!G115 = 0, "", IF(ISBLANK(DATA2!G115),"",IF(ISBLANK(DATA!E115),DATA2!G115,"Flag override " &amp; TEXT(DATA!E115,"mm/dd/yyyy hh:mm"))))</f>
        <v/>
      </c>
      <c r="H115" s="25" t="str">
        <f>IF(DATA!$G115&gt;0,TEXT(DATA!G115,"mm/dd/yyyy hh:mm"),"")</f>
        <v/>
      </c>
      <c r="I115" s="21"/>
    </row>
    <row r="116" spans="2:9" ht="23.25" x14ac:dyDescent="0.25">
      <c r="B116" s="25">
        <f t="shared" si="4"/>
        <v>108</v>
      </c>
      <c r="C116" s="25" t="str">
        <f>IF(NOT(ISBLANK(DATA2!C116)),DATA2!C116,"")</f>
        <v>HHHHHH, Jayden T</v>
      </c>
      <c r="D116" s="25">
        <f>IF(NOT(ISBLANK(DATA2!D116)),DATA2!D116,"")</f>
        <v>80808955</v>
      </c>
      <c r="E116" s="26" t="str">
        <f>IF(ISBLANK(DATA2!E116),"",IF(ISBLANK(DATA!C116),DATA2!E116,"Flag override: " &amp; TEXT(DATA!C116, "mm/dd/yyyy hh:mm") ))</f>
        <v/>
      </c>
      <c r="F116" s="27" t="str">
        <f>IF(ISBLANK(DATA2!F116),"",IF(ISBLANK(DATA!D116),DATA2!F116,"Flag override " &amp; TEXT(DATA!D116, "mm/dd/yyyy hh:mm")))</f>
        <v xml:space="preserve">142 minutes elapsed between pain scores while patient has active Epidural Infusion Spine, Thoracic within first 24 hours.
First infusion record charted @ 04/20/23 11:51:00
Previous score charted @ 04/21/23 02:50:00
Flagged score charted @ 04/21/23 05:12:00)
[IRF]
 ||Linton RN, Chloe B||
</v>
      </c>
      <c r="G116" s="27" t="str">
        <f>IF(DATA2!G116 = 0, "", IF(ISBLANK(DATA2!G116),"",IF(ISBLANK(DATA!E116),DATA2!G116,"Flag override " &amp; TEXT(DATA!E116,"mm/dd/yyyy hh:mm"))))</f>
        <v/>
      </c>
      <c r="H116" s="25" t="str">
        <f>IF(DATA!$G116&gt;0,TEXT(DATA!G116,"mm/dd/yyyy hh:mm"),"")</f>
        <v/>
      </c>
      <c r="I116" s="21"/>
    </row>
    <row r="117" spans="2:9" ht="23.25" x14ac:dyDescent="0.25">
      <c r="B117" s="25">
        <f t="shared" si="4"/>
        <v>109</v>
      </c>
      <c r="C117" s="25" t="str">
        <f>IF(NOT(ISBLANK(DATA2!C117)),DATA2!C117,"")</f>
        <v>HHHHHH, Jayden T</v>
      </c>
      <c r="D117" s="25">
        <f>IF(NOT(ISBLANK(DATA2!D117)),DATA2!D117,"")</f>
        <v>80808955</v>
      </c>
      <c r="E117" s="26" t="str">
        <f>IF(ISBLANK(DATA2!E117),"",IF(ISBLANK(DATA!C117),DATA2!E117,"Flag override: " &amp; TEXT(DATA!C117, "mm/dd/yyyy hh:mm") ))</f>
        <v/>
      </c>
      <c r="F117" s="27" t="str">
        <f>IF(ISBLANK(DATA2!F117),"",IF(ISBLANK(DATA!D117),DATA2!F117,"Flag override " &amp; TEXT(DATA!D117, "mm/dd/yyyy hh:mm")))</f>
        <v xml:space="preserve">151 minutes elapsed between pain scores while patient has active Epidural Infusion Spine, Thoracic within first 24 hours.
First infusion record charted @ 04/20/23 11:51:00
Previous score charted @ 04/21/23 08:47:00
Flagged score charted @ 04/21/23 11:18:00)
[IRF]
 ||Rice RN BSN, Jennifer D||
</v>
      </c>
      <c r="G117" s="27" t="str">
        <f>IF(DATA2!G117 = 0, "", IF(ISBLANK(DATA2!G117),"",IF(ISBLANK(DATA!E117),DATA2!G117,"Flag override " &amp; TEXT(DATA!E117,"mm/dd/yyyy hh:mm"))))</f>
        <v/>
      </c>
      <c r="H117" s="25" t="str">
        <f>IF(DATA!$G117&gt;0,TEXT(DATA!G117,"mm/dd/yyyy hh:mm"),"")</f>
        <v/>
      </c>
      <c r="I117" s="21"/>
    </row>
    <row r="118" spans="2:9" ht="23.25" x14ac:dyDescent="0.25">
      <c r="B118" s="25">
        <f t="shared" si="4"/>
        <v>110</v>
      </c>
      <c r="C118" s="25" t="str">
        <f>IF(NOT(ISBLANK(DATA2!C118)),DATA2!C118,"")</f>
        <v>HHHHHH, Jayden T</v>
      </c>
      <c r="D118" s="25">
        <f>IF(NOT(ISBLANK(DATA2!D118)),DATA2!D118,"")</f>
        <v>80808955</v>
      </c>
      <c r="E118" s="26" t="str">
        <f>IF(ISBLANK(DATA2!E118),"",IF(ISBLANK(DATA!C118),DATA2!E118,"Flag override: " &amp; TEXT(DATA!C118, "mm/dd/yyyy hh:mm") ))</f>
        <v/>
      </c>
      <c r="F118" s="27" t="str">
        <f>IF(ISBLANK(DATA2!F118),"",IF(ISBLANK(DATA!D118),DATA2!F118,"Flag override " &amp; TEXT(DATA!D118, "mm/dd/yyyy hh:mm")))</f>
        <v xml:space="preserve">284 minutes elapsed between pain scores while patient has active Epidural Infusion Spine, Thoracic after the first 24 hours.
First infusion record charted @ 04/20/23 11:51:00
Previous score charted @ 04/21/23 17:41:00
Flagged score charted @ 04/21/23 22:25:00)
[IRF]
 ||Rice RN BSN, Jennifer D||
</v>
      </c>
      <c r="G118" s="27" t="str">
        <f>IF(DATA2!G118 = 0, "", IF(ISBLANK(DATA2!G118),"",IF(ISBLANK(DATA!E118),DATA2!G118,"Flag override " &amp; TEXT(DATA!E118,"mm/dd/yyyy hh:mm"))))</f>
        <v/>
      </c>
      <c r="H118" s="25" t="str">
        <f>IF(DATA!$G118&gt;0,TEXT(DATA!G118,"mm/dd/yyyy hh:mm"),"")</f>
        <v/>
      </c>
      <c r="I118" s="21"/>
    </row>
    <row r="119" spans="2:9" ht="23.25" x14ac:dyDescent="0.25">
      <c r="B119" s="25">
        <f t="shared" si="4"/>
        <v>111</v>
      </c>
      <c r="C119" s="25" t="str">
        <f>IF(NOT(ISBLANK(DATA2!C119)),DATA2!C119,"")</f>
        <v>HHHHHH, Jayden T</v>
      </c>
      <c r="D119" s="25">
        <f>IF(NOT(ISBLANK(DATA2!D119)),DATA2!D119,"")</f>
        <v>80808955</v>
      </c>
      <c r="E119" s="26" t="str">
        <f>IF(ISBLANK(DATA2!E119),"",IF(ISBLANK(DATA!C119),DATA2!E119,"Flag override: " &amp; TEXT(DATA!C119, "mm/dd/yyyy hh:mm") ))</f>
        <v/>
      </c>
      <c r="F119" s="27" t="str">
        <f>IF(ISBLANK(DATA2!F119),"",IF(ISBLANK(DATA!D119),DATA2!F119,"Flag override " &amp; TEXT(DATA!D119, "mm/dd/yyyy hh:mm")))</f>
        <v xml:space="preserve">[IRF]
FLACC Revised, Score charted @ 04/22/23 01:00:00 was not charted within 45 min (30-policy + 15-grace period) BEFORE the final Epidural Infusion Spine, Lumbar  record charted @ 04/22/23 03:00:00
Check for accurate d/c time. ||Linton RN, Chloe B||
</v>
      </c>
      <c r="G119" s="27" t="str">
        <f>IF(DATA2!G119 = 0, "", IF(ISBLANK(DATA2!G119),"",IF(ISBLANK(DATA!E119),DATA2!G119,"Flag override " &amp; TEXT(DATA!E119,"mm/dd/yyyy hh:mm"))))</f>
        <v/>
      </c>
      <c r="H119" s="25" t="str">
        <f>IF(DATA!$G119&gt;0,TEXT(DATA!G119,"mm/dd/yyyy hh:mm"),"")</f>
        <v/>
      </c>
      <c r="I119" s="21"/>
    </row>
    <row r="120" spans="2:9" ht="23.25" x14ac:dyDescent="0.25">
      <c r="B120" s="25">
        <f t="shared" si="4"/>
        <v>112</v>
      </c>
      <c r="C120" s="25" t="str">
        <f>IF(NOT(ISBLANK(DATA2!C120)),DATA2!C120,"")</f>
        <v>HHHHHH, Jayden T</v>
      </c>
      <c r="D120" s="25">
        <f>IF(NOT(ISBLANK(DATA2!D120)),DATA2!D120,"")</f>
        <v>80808955</v>
      </c>
      <c r="E120" s="26" t="str">
        <f>IF(ISBLANK(DATA2!E120),"",IF(ISBLANK(DATA!C120),DATA2!E120,"Flag override: " &amp; TEXT(DATA!C120, "mm/dd/yyyy hh:mm") ))</f>
        <v/>
      </c>
      <c r="F120" s="27" t="str">
        <f>IF(ISBLANK(DATA2!F120),"",IF(ISBLANK(DATA!D120),DATA2!F120,"Flag override " &amp; TEXT(DATA!D120, "mm/dd/yyyy hh:mm")))</f>
        <v xml:space="preserve">[PRF]
Verbal Analog Pain Score [0-10] charted @ 04/22/23 03:30:00 was not charted within 45 min (30-policy + 15-grace period) BEFORE the Oral oxycoDONE charted @ 04/22/23 04:39:00 ||Linton RN, Chloe B||
</v>
      </c>
      <c r="G120" s="27" t="str">
        <f>IF(DATA2!G120 = 0, "", IF(ISBLANK(DATA2!G120),"",IF(ISBLANK(DATA!E120),DATA2!G120,"Flag override " &amp; TEXT(DATA!E120,"mm/dd/yyyy hh:mm"))))</f>
        <v/>
      </c>
      <c r="H120" s="25" t="str">
        <f>IF(DATA!$G120&gt;0,TEXT(DATA!G120,"mm/dd/yyyy hh:mm"),"")</f>
        <v/>
      </c>
      <c r="I120" s="21"/>
    </row>
    <row r="121" spans="2:9" ht="23.25" x14ac:dyDescent="0.25">
      <c r="B121" s="25">
        <f t="shared" si="4"/>
        <v>113</v>
      </c>
      <c r="C121" s="25" t="str">
        <f>IF(NOT(ISBLANK(DATA2!C121)),DATA2!C121,"")</f>
        <v>HHHHHH, Jayden T</v>
      </c>
      <c r="D121" s="25">
        <f>IF(NOT(ISBLANK(DATA2!D121)),DATA2!D121,"")</f>
        <v>80808955</v>
      </c>
      <c r="E121" s="26" t="str">
        <f>IF(ISBLANK(DATA2!E121),"",IF(ISBLANK(DATA!C121),DATA2!E121,"Flag override: " &amp; TEXT(DATA!C121, "mm/dd/yyyy hh:mm") ))</f>
        <v/>
      </c>
      <c r="F121" s="27" t="str">
        <f>IF(ISBLANK(DATA2!F121),"",IF(ISBLANK(DATA!D121),DATA2!F121,"Flag override " &amp; TEXT(DATA!D121, "mm/dd/yyyy hh:mm")))</f>
        <v xml:space="preserve">[PRF]
Verbal Analog Pain Score [0-10] charted @ 04/22/23 07:44:00 was not charted within 45 min (30-policy + 15-grace period) BEFORE the Oral oxycoDONE charted @ 04/22/23 09:12:00 ||Sims RN, Brenda D.||
</v>
      </c>
      <c r="G121" s="27" t="str">
        <f>IF(DATA2!G121 = 0, "", IF(ISBLANK(DATA2!G121),"",IF(ISBLANK(DATA!E121),DATA2!G121,"Flag override " &amp; TEXT(DATA!E121,"mm/dd/yyyy hh:mm"))))</f>
        <v/>
      </c>
      <c r="H121" s="25" t="str">
        <f>IF(DATA!$G121&gt;0,TEXT(DATA!G121,"mm/dd/yyyy hh:mm"),"")</f>
        <v/>
      </c>
      <c r="I121" s="21"/>
    </row>
    <row r="122" spans="2:9" ht="23.25" x14ac:dyDescent="0.25">
      <c r="B122" s="25">
        <f t="shared" si="4"/>
        <v>114</v>
      </c>
      <c r="C122" s="25" t="str">
        <f>IF(NOT(ISBLANK(DATA2!C122)),DATA2!C122,"")</f>
        <v>HHHHHH, Jayden T</v>
      </c>
      <c r="D122" s="25">
        <f>IF(NOT(ISBLANK(DATA2!D122)),DATA2!D122,"")</f>
        <v>80808955</v>
      </c>
      <c r="E122" s="26" t="str">
        <f>IF(ISBLANK(DATA2!E122),"",IF(ISBLANK(DATA!C122),DATA2!E122,"Flag override: " &amp; TEXT(DATA!C122, "mm/dd/yyyy hh:mm") ))</f>
        <v/>
      </c>
      <c r="F122" s="27" t="str">
        <f>IF(ISBLANK(DATA2!F122),"",IF(ISBLANK(DATA!D122),DATA2!F122,"Flag override " &amp; TEXT(DATA!D122, "mm/dd/yyyy hh:mm")))</f>
        <v xml:space="preserve">[PRF]
The follow-up pain assessment charted after Oral oxycoDONE charted @ 04/22/23 12:43:00 was 44 minutes late.
The Verbal Analog Pain Score [0-10] was due within 75min (60-policy + 15-grace period) but was not charted until 04/22/23 14:42:00 ||Sims RN, Brenda D.||
</v>
      </c>
      <c r="G122" s="27" t="str">
        <f>IF(DATA2!G122 = 0, "", IF(ISBLANK(DATA2!G122),"",IF(ISBLANK(DATA!E122),DATA2!G122,"Flag override " &amp; TEXT(DATA!E122,"mm/dd/yyyy hh:mm"))))</f>
        <v/>
      </c>
      <c r="H122" s="25" t="str">
        <f>IF(DATA!$G122&gt;0,TEXT(DATA!G122,"mm/dd/yyyy hh:mm"),"")</f>
        <v/>
      </c>
      <c r="I122" s="21"/>
    </row>
    <row r="123" spans="2:9" ht="23.25" x14ac:dyDescent="0.25">
      <c r="B123" s="25" t="str">
        <f t="shared" si="4"/>
        <v/>
      </c>
      <c r="C123" s="25" t="str">
        <f>IF(NOT(ISBLANK(DATA2!C123)),DATA2!C123,"")</f>
        <v/>
      </c>
      <c r="D123" s="25" t="str">
        <f>IF(NOT(ISBLANK(DATA2!D123)),DATA2!D123,"")</f>
        <v/>
      </c>
      <c r="E123" s="26" t="str">
        <f>IF(ISBLANK(DATA2!E123),"",IF(ISBLANK(DATA!C123),DATA2!E123,"Flag override: " &amp; TEXT(DATA!C123, "mm/dd/yyyy hh:mm") ))</f>
        <v/>
      </c>
      <c r="F123" s="27" t="str">
        <f>IF(ISBLANK(DATA2!F123),"",IF(ISBLANK(DATA!D123),DATA2!F123,"Flag override " &amp; TEXT(DATA!D123, "mm/dd/yyyy hh:mm")))</f>
        <v/>
      </c>
      <c r="G123" s="27" t="str">
        <f>IF(DATA2!G123 = 0, "", IF(ISBLANK(DATA2!G123),"",IF(ISBLANK(DATA!E123),DATA2!G123,"Flag override " &amp; TEXT(DATA!E123,"mm/dd/yyyy hh:mm"))))</f>
        <v/>
      </c>
      <c r="H123" s="25" t="str">
        <f>IF(DATA!$G123&gt;0,TEXT(DATA!G123,"mm/dd/yyyy hh:mm"),"")</f>
        <v/>
      </c>
      <c r="I123" s="21"/>
    </row>
    <row r="124" spans="2:9" ht="23.25" x14ac:dyDescent="0.25">
      <c r="B124" s="25" t="str">
        <f t="shared" si="4"/>
        <v/>
      </c>
      <c r="C124" s="25" t="str">
        <f>IF(NOT(ISBLANK(DATA2!C124)),DATA2!C124,"")</f>
        <v/>
      </c>
      <c r="D124" s="25" t="str">
        <f>IF(NOT(ISBLANK(DATA2!D124)),DATA2!D124,"")</f>
        <v/>
      </c>
      <c r="E124" s="26" t="str">
        <f>IF(ISBLANK(DATA2!E124),"",IF(ISBLANK(DATA!C124),DATA2!E124,"Flag override: " &amp; TEXT(DATA!C124, "mm/dd/yyyy hh:mm") ))</f>
        <v/>
      </c>
      <c r="F124" s="27" t="str">
        <f>IF(ISBLANK(DATA2!F124),"",IF(ISBLANK(DATA!D124),DATA2!F124,"Flag override " &amp; TEXT(DATA!D124, "mm/dd/yyyy hh:mm")))</f>
        <v/>
      </c>
      <c r="G124" s="27" t="str">
        <f>IF(DATA2!G124 = 0, "", IF(ISBLANK(DATA2!G124),"",IF(ISBLANK(DATA!E124),DATA2!G124,"Flag override " &amp; TEXT(DATA!E124,"mm/dd/yyyy hh:mm"))))</f>
        <v/>
      </c>
      <c r="H124" s="25" t="str">
        <f>IF(DATA!$G124&gt;0,TEXT(DATA!G124,"mm/dd/yyyy hh:mm"),"")</f>
        <v/>
      </c>
      <c r="I124" s="21"/>
    </row>
    <row r="125" spans="2:9" ht="23.25" x14ac:dyDescent="0.25">
      <c r="B125" s="25" t="str">
        <f t="shared" si="4"/>
        <v/>
      </c>
      <c r="C125" s="25" t="str">
        <f>IF(NOT(ISBLANK(DATA2!C125)),DATA2!C125,"")</f>
        <v/>
      </c>
      <c r="D125" s="25" t="str">
        <f>IF(NOT(ISBLANK(DATA2!D125)),DATA2!D125,"")</f>
        <v/>
      </c>
      <c r="E125" s="26" t="str">
        <f>IF(ISBLANK(DATA2!E125),"",IF(ISBLANK(DATA!C125),DATA2!E125,"Flag override: " &amp; TEXT(DATA!C125, "mm/dd/yyyy hh:mm") ))</f>
        <v/>
      </c>
      <c r="F125" s="27" t="str">
        <f>IF(ISBLANK(DATA2!F125),"",IF(ISBLANK(DATA!D125),DATA2!F125,"Flag override " &amp; TEXT(DATA!D125, "mm/dd/yyyy hh:mm")))</f>
        <v/>
      </c>
      <c r="G125" s="27" t="str">
        <f>IF(DATA2!G125 = 0, "", IF(ISBLANK(DATA2!G125),"",IF(ISBLANK(DATA!E125),DATA2!G125,"Flag override " &amp; TEXT(DATA!E125,"mm/dd/yyyy hh:mm"))))</f>
        <v/>
      </c>
      <c r="H125" s="25" t="str">
        <f>IF(DATA!$G125&gt;0,TEXT(DATA!G125,"mm/dd/yyyy hh:mm"),"")</f>
        <v/>
      </c>
      <c r="I125" s="21"/>
    </row>
    <row r="126" spans="2:9" ht="23.25" x14ac:dyDescent="0.25">
      <c r="B126" s="25" t="str">
        <f t="shared" si="4"/>
        <v/>
      </c>
      <c r="C126" s="25" t="str">
        <f>IF(NOT(ISBLANK(DATA2!C126)),DATA2!C126,"")</f>
        <v/>
      </c>
      <c r="D126" s="25" t="str">
        <f>IF(NOT(ISBLANK(DATA2!D126)),DATA2!D126,"")</f>
        <v/>
      </c>
      <c r="E126" s="26" t="str">
        <f>IF(ISBLANK(DATA2!E126),"",IF(ISBLANK(DATA!C126),DATA2!E126,"Flag override: " &amp; TEXT(DATA!C126, "mm/dd/yyyy hh:mm") ))</f>
        <v/>
      </c>
      <c r="F126" s="27" t="str">
        <f>IF(ISBLANK(DATA2!F126),"",IF(ISBLANK(DATA!D126),DATA2!F126,"Flag override " &amp; TEXT(DATA!D126, "mm/dd/yyyy hh:mm")))</f>
        <v/>
      </c>
      <c r="G126" s="27" t="str">
        <f>IF(DATA2!G126 = 0, "", IF(ISBLANK(DATA2!G126),"",IF(ISBLANK(DATA!E126),DATA2!G126,"Flag override " &amp; TEXT(DATA!E126,"mm/dd/yyyy hh:mm"))))</f>
        <v/>
      </c>
      <c r="H126" s="25" t="str">
        <f>IF(DATA!$G126&gt;0,TEXT(DATA!G126,"mm/dd/yyyy hh:mm"),"")</f>
        <v/>
      </c>
      <c r="I126" s="21"/>
    </row>
    <row r="127" spans="2:9" ht="23.25" x14ac:dyDescent="0.25">
      <c r="B127" s="25" t="str">
        <f t="shared" si="4"/>
        <v/>
      </c>
      <c r="C127" s="25" t="str">
        <f>IF(NOT(ISBLANK(DATA2!C127)),DATA2!C127,"")</f>
        <v/>
      </c>
      <c r="D127" s="25" t="str">
        <f>IF(NOT(ISBLANK(DATA2!D127)),DATA2!D127,"")</f>
        <v/>
      </c>
      <c r="E127" s="26" t="str">
        <f>IF(ISBLANK(DATA2!E127),"",IF(ISBLANK(DATA!C127),DATA2!E127,"Flag override: " &amp; TEXT(DATA!C127, "mm/dd/yyyy hh:mm") ))</f>
        <v/>
      </c>
      <c r="F127" s="27" t="str">
        <f>IF(ISBLANK(DATA2!F127),"",IF(ISBLANK(DATA!D127),DATA2!F127,"Flag override " &amp; TEXT(DATA!D127, "mm/dd/yyyy hh:mm")))</f>
        <v/>
      </c>
      <c r="G127" s="27" t="str">
        <f>IF(DATA2!G127 = 0, "", IF(ISBLANK(DATA2!G127),"",IF(ISBLANK(DATA!E127),DATA2!G127,"Flag override " &amp; TEXT(DATA!E127,"mm/dd/yyyy hh:mm"))))</f>
        <v/>
      </c>
      <c r="H127" s="25" t="str">
        <f>IF(DATA!$G127&gt;0,TEXT(DATA!G127,"mm/dd/yyyy hh:mm"),"")</f>
        <v/>
      </c>
      <c r="I127" s="21"/>
    </row>
    <row r="128" spans="2:9" ht="23.25" x14ac:dyDescent="0.25">
      <c r="B128" s="25" t="str">
        <f t="shared" si="4"/>
        <v/>
      </c>
      <c r="C128" s="25" t="str">
        <f>IF(NOT(ISBLANK(DATA2!C128)),DATA2!C128,"")</f>
        <v/>
      </c>
      <c r="D128" s="25" t="str">
        <f>IF(NOT(ISBLANK(DATA2!D128)),DATA2!D128,"")</f>
        <v/>
      </c>
      <c r="E128" s="26" t="str">
        <f>IF(ISBLANK(DATA2!E128),"",IF(ISBLANK(DATA!C128),DATA2!E128,"Flag override: " &amp; TEXT(DATA!C128, "mm/dd/yyyy hh:mm") ))</f>
        <v/>
      </c>
      <c r="F128" s="27" t="str">
        <f>IF(ISBLANK(DATA2!F128),"",IF(ISBLANK(DATA!D128),DATA2!F128,"Flag override " &amp; TEXT(DATA!D128, "mm/dd/yyyy hh:mm")))</f>
        <v/>
      </c>
      <c r="G128" s="27" t="str">
        <f>IF(DATA2!G128 = 0, "", IF(ISBLANK(DATA2!G128),"",IF(ISBLANK(DATA!E128),DATA2!G128,"Flag override " &amp; TEXT(DATA!E128,"mm/dd/yyyy hh:mm"))))</f>
        <v/>
      </c>
      <c r="H128" s="25" t="str">
        <f>IF(DATA!$G128&gt;0,TEXT(DATA!G128,"mm/dd/yyyy hh:mm"),"")</f>
        <v/>
      </c>
      <c r="I128" s="21"/>
    </row>
    <row r="129" spans="2:9" ht="23.25" x14ac:dyDescent="0.25">
      <c r="B129" s="25" t="str">
        <f t="shared" si="4"/>
        <v/>
      </c>
      <c r="C129" s="25" t="str">
        <f>IF(NOT(ISBLANK(DATA2!C129)),DATA2!C129,"")</f>
        <v/>
      </c>
      <c r="D129" s="25" t="str">
        <f>IF(NOT(ISBLANK(DATA2!D129)),DATA2!D129,"")</f>
        <v/>
      </c>
      <c r="E129" s="26" t="str">
        <f>IF(ISBLANK(DATA2!E129),"",IF(ISBLANK(DATA!C129),DATA2!E129,"Flag override: " &amp; TEXT(DATA!C129, "mm/dd/yyyy hh:mm") ))</f>
        <v/>
      </c>
      <c r="F129" s="27" t="str">
        <f>IF(ISBLANK(DATA2!F129),"",IF(ISBLANK(DATA!D129),DATA2!F129,"Flag override " &amp; TEXT(DATA!D129, "mm/dd/yyyy hh:mm")))</f>
        <v/>
      </c>
      <c r="G129" s="27" t="str">
        <f>IF(DATA2!G129 = 0, "", IF(ISBLANK(DATA2!G129),"",IF(ISBLANK(DATA!E129),DATA2!G129,"Flag override " &amp; TEXT(DATA!E129,"mm/dd/yyyy hh:mm"))))</f>
        <v/>
      </c>
      <c r="H129" s="25" t="str">
        <f>IF(DATA!$G129&gt;0,TEXT(DATA!G129,"mm/dd/yyyy hh:mm"),"")</f>
        <v/>
      </c>
      <c r="I129" s="21"/>
    </row>
    <row r="130" spans="2:9" ht="23.25" x14ac:dyDescent="0.25">
      <c r="B130" s="25" t="str">
        <f t="shared" si="4"/>
        <v/>
      </c>
      <c r="C130" s="25" t="str">
        <f>IF(NOT(ISBLANK(DATA2!C130)),DATA2!C130,"")</f>
        <v/>
      </c>
      <c r="D130" s="25" t="str">
        <f>IF(NOT(ISBLANK(DATA2!D130)),DATA2!D130,"")</f>
        <v/>
      </c>
      <c r="E130" s="26" t="str">
        <f>IF(ISBLANK(DATA2!E130),"",IF(ISBLANK(DATA!C130),DATA2!E130,"Flag override: " &amp; TEXT(DATA!C130, "mm/dd/yyyy hh:mm") ))</f>
        <v/>
      </c>
      <c r="F130" s="27" t="str">
        <f>IF(ISBLANK(DATA2!F130),"",IF(ISBLANK(DATA!D130),DATA2!F130,"Flag override " &amp; TEXT(DATA!D130, "mm/dd/yyyy hh:mm")))</f>
        <v/>
      </c>
      <c r="G130" s="27" t="str">
        <f>IF(DATA2!G130 = 0, "", IF(ISBLANK(DATA2!G130),"",IF(ISBLANK(DATA!E130),DATA2!G130,"Flag override " &amp; TEXT(DATA!E130,"mm/dd/yyyy hh:mm"))))</f>
        <v/>
      </c>
      <c r="H130" s="25" t="str">
        <f>IF(DATA!$G130&gt;0,TEXT(DATA!G130,"mm/dd/yyyy hh:mm"),"")</f>
        <v/>
      </c>
      <c r="I130" s="21"/>
    </row>
    <row r="131" spans="2:9" ht="23.25" x14ac:dyDescent="0.25">
      <c r="B131" s="25" t="str">
        <f t="shared" si="4"/>
        <v/>
      </c>
      <c r="C131" s="25" t="str">
        <f>IF(NOT(ISBLANK(DATA2!C131)),DATA2!C131,"")</f>
        <v/>
      </c>
      <c r="D131" s="25" t="str">
        <f>IF(NOT(ISBLANK(DATA2!D131)),DATA2!D131,"")</f>
        <v/>
      </c>
      <c r="E131" s="26" t="str">
        <f>IF(ISBLANK(DATA2!E131),"",IF(ISBLANK(DATA!C131),DATA2!E131,"Flag override: " &amp; TEXT(DATA!C131, "mm/dd/yyyy hh:mm") ))</f>
        <v/>
      </c>
      <c r="F131" s="27" t="str">
        <f>IF(ISBLANK(DATA2!F131),"",IF(ISBLANK(DATA!D131),DATA2!F131,"Flag override " &amp; TEXT(DATA!D131, "mm/dd/yyyy hh:mm")))</f>
        <v/>
      </c>
      <c r="G131" s="27" t="str">
        <f>IF(DATA2!G131 = 0, "", IF(ISBLANK(DATA2!G131),"",IF(ISBLANK(DATA!E131),DATA2!G131,"Flag override " &amp; TEXT(DATA!E131,"mm/dd/yyyy hh:mm"))))</f>
        <v/>
      </c>
      <c r="H131" s="25" t="str">
        <f>IF(DATA!$G131&gt;0,TEXT(DATA!G131,"mm/dd/yyyy hh:mm"),"")</f>
        <v/>
      </c>
      <c r="I131" s="21"/>
    </row>
    <row r="132" spans="2:9" ht="23.25" x14ac:dyDescent="0.25">
      <c r="B132" s="25" t="str">
        <f t="shared" si="4"/>
        <v/>
      </c>
      <c r="C132" s="25" t="str">
        <f>IF(NOT(ISBLANK(DATA2!C132)),DATA2!C132,"")</f>
        <v/>
      </c>
      <c r="D132" s="25" t="str">
        <f>IF(NOT(ISBLANK(DATA2!D132)),DATA2!D132,"")</f>
        <v/>
      </c>
      <c r="E132" s="26" t="str">
        <f>IF(ISBLANK(DATA2!E132),"",IF(ISBLANK(DATA!C132),DATA2!E132,"Flag override: " &amp; TEXT(DATA!C132, "mm/dd/yyyy hh:mm") ))</f>
        <v/>
      </c>
      <c r="F132" s="27" t="str">
        <f>IF(ISBLANK(DATA2!F132),"",IF(ISBLANK(DATA!D132),DATA2!F132,"Flag override " &amp; TEXT(DATA!D132, "mm/dd/yyyy hh:mm")))</f>
        <v/>
      </c>
      <c r="G132" s="27" t="str">
        <f>IF(DATA2!G132 = 0, "", IF(ISBLANK(DATA2!G132),"",IF(ISBLANK(DATA!E132),DATA2!G132,"Flag override " &amp; TEXT(DATA!E132,"mm/dd/yyyy hh:mm"))))</f>
        <v/>
      </c>
      <c r="H132" s="25" t="str">
        <f>IF(DATA!$G132&gt;0,TEXT(DATA!G132,"mm/dd/yyyy hh:mm"),"")</f>
        <v/>
      </c>
      <c r="I132" s="21"/>
    </row>
    <row r="133" spans="2:9" ht="23.25" x14ac:dyDescent="0.25">
      <c r="B133" s="25" t="str">
        <f t="shared" si="4"/>
        <v/>
      </c>
      <c r="C133" s="25" t="str">
        <f>IF(NOT(ISBLANK(DATA2!C133)),DATA2!C133,"")</f>
        <v/>
      </c>
      <c r="D133" s="25" t="str">
        <f>IF(NOT(ISBLANK(DATA2!D133)),DATA2!D133,"")</f>
        <v/>
      </c>
      <c r="E133" s="26" t="str">
        <f>IF(ISBLANK(DATA2!E133),"",IF(ISBLANK(DATA!C133),DATA2!E133,"Flag override: " &amp; TEXT(DATA!C133, "mm/dd/yyyy hh:mm") ))</f>
        <v/>
      </c>
      <c r="F133" s="27" t="str">
        <f>IF(ISBLANK(DATA2!F133),"",IF(ISBLANK(DATA!D133),DATA2!F133,"Flag override " &amp; TEXT(DATA!D133, "mm/dd/yyyy hh:mm")))</f>
        <v/>
      </c>
      <c r="G133" s="27" t="str">
        <f>IF(DATA2!G133 = 0, "", IF(ISBLANK(DATA2!G133),"",IF(ISBLANK(DATA!E133),DATA2!G133,"Flag override " &amp; TEXT(DATA!E133,"mm/dd/yyyy hh:mm"))))</f>
        <v/>
      </c>
      <c r="H133" s="25" t="str">
        <f>IF(DATA!$G133&gt;0,TEXT(DATA!G133,"mm/dd/yyyy hh:mm"),"")</f>
        <v/>
      </c>
      <c r="I133" s="21"/>
    </row>
    <row r="134" spans="2:9" ht="23.25" x14ac:dyDescent="0.25">
      <c r="B134" s="25" t="str">
        <f t="shared" si="4"/>
        <v/>
      </c>
      <c r="C134" s="25" t="str">
        <f>IF(NOT(ISBLANK(DATA2!C134)),DATA2!C134,"")</f>
        <v/>
      </c>
      <c r="D134" s="25" t="str">
        <f>IF(NOT(ISBLANK(DATA2!D134)),DATA2!D134,"")</f>
        <v/>
      </c>
      <c r="E134" s="26" t="str">
        <f>IF(ISBLANK(DATA2!E134),"",IF(ISBLANK(DATA!C134),DATA2!E134,"Flag override: " &amp; TEXT(DATA!C134, "mm/dd/yyyy hh:mm") ))</f>
        <v/>
      </c>
      <c r="F134" s="27" t="str">
        <f>IF(ISBLANK(DATA2!F134),"",IF(ISBLANK(DATA!D134),DATA2!F134,"Flag override " &amp; TEXT(DATA!D134, "mm/dd/yyyy hh:mm")))</f>
        <v/>
      </c>
      <c r="G134" s="27" t="str">
        <f>IF(DATA2!G134 = 0, "", IF(ISBLANK(DATA2!G134),"",IF(ISBLANK(DATA!E134),DATA2!G134,"Flag override " &amp; TEXT(DATA!E134,"mm/dd/yyyy hh:mm"))))</f>
        <v/>
      </c>
      <c r="H134" s="25" t="str">
        <f>IF(DATA!$G134&gt;0,TEXT(DATA!G134,"mm/dd/yyyy hh:mm"),"")</f>
        <v/>
      </c>
      <c r="I134" s="21"/>
    </row>
    <row r="135" spans="2:9" ht="23.25" x14ac:dyDescent="0.25">
      <c r="B135" s="25" t="str">
        <f t="shared" si="4"/>
        <v/>
      </c>
      <c r="C135" s="25" t="str">
        <f>IF(NOT(ISBLANK(DATA2!C135)),DATA2!C135,"")</f>
        <v/>
      </c>
      <c r="D135" s="25" t="str">
        <f>IF(NOT(ISBLANK(DATA2!D135)),DATA2!D135,"")</f>
        <v/>
      </c>
      <c r="E135" s="26" t="str">
        <f>IF(ISBLANK(DATA2!E135),"",IF(ISBLANK(DATA!C135),DATA2!E135,"Flag override: " &amp; TEXT(DATA!C135, "mm/dd/yyyy hh:mm") ))</f>
        <v/>
      </c>
      <c r="F135" s="27" t="str">
        <f>IF(ISBLANK(DATA2!F135),"",IF(ISBLANK(DATA!D135),DATA2!F135,"Flag override " &amp; TEXT(DATA!D135, "mm/dd/yyyy hh:mm")))</f>
        <v/>
      </c>
      <c r="G135" s="27" t="str">
        <f>IF(DATA2!G135 = 0, "", IF(ISBLANK(DATA2!G135),"",IF(ISBLANK(DATA!E135),DATA2!G135,"Flag override " &amp; TEXT(DATA!E135,"mm/dd/yyyy hh:mm"))))</f>
        <v/>
      </c>
      <c r="H135" s="25" t="str">
        <f>IF(DATA!$G135&gt;0,TEXT(DATA!G135,"mm/dd/yyyy hh:mm"),"")</f>
        <v/>
      </c>
      <c r="I135" s="21"/>
    </row>
    <row r="136" spans="2:9" ht="23.25" x14ac:dyDescent="0.25">
      <c r="B136" s="25" t="str">
        <f t="shared" si="4"/>
        <v/>
      </c>
      <c r="C136" s="25" t="str">
        <f>IF(NOT(ISBLANK(DATA2!C136)),DATA2!C136,"")</f>
        <v/>
      </c>
      <c r="D136" s="25" t="str">
        <f>IF(NOT(ISBLANK(DATA2!D136)),DATA2!D136,"")</f>
        <v/>
      </c>
      <c r="E136" s="26" t="str">
        <f>IF(ISBLANK(DATA2!E136),"",IF(ISBLANK(DATA!C136),DATA2!E136,"Flag override: " &amp; TEXT(DATA!C136, "mm/dd/yyyy hh:mm") ))</f>
        <v/>
      </c>
      <c r="F136" s="27" t="str">
        <f>IF(ISBLANK(DATA2!F136),"",IF(ISBLANK(DATA!D136),DATA2!F136,"Flag override " &amp; TEXT(DATA!D136, "mm/dd/yyyy hh:mm")))</f>
        <v/>
      </c>
      <c r="G136" s="27" t="str">
        <f>IF(DATA2!G136 = 0, "", IF(ISBLANK(DATA2!G136),"",IF(ISBLANK(DATA!E136),DATA2!G136,"Flag override " &amp; TEXT(DATA!E136,"mm/dd/yyyy hh:mm"))))</f>
        <v/>
      </c>
      <c r="H136" s="25" t="str">
        <f>IF(DATA!$G136&gt;0,TEXT(DATA!G136,"mm/dd/yyyy hh:mm"),"")</f>
        <v/>
      </c>
      <c r="I136" s="21"/>
    </row>
    <row r="137" spans="2:9" ht="23.25" x14ac:dyDescent="0.25">
      <c r="B137" s="25" t="str">
        <f t="shared" ref="B137:B200" si="5">IF(LEN(C137)&lt;1,"",IF(NOT(_xlfn.ISFORMULA(B136)),1,B136+1))</f>
        <v/>
      </c>
      <c r="C137" s="25" t="str">
        <f>IF(NOT(ISBLANK(DATA2!C137)),DATA2!C137,"")</f>
        <v/>
      </c>
      <c r="D137" s="25" t="str">
        <f>IF(NOT(ISBLANK(DATA2!D137)),DATA2!D137,"")</f>
        <v/>
      </c>
      <c r="E137" s="26" t="str">
        <f>IF(ISBLANK(DATA2!E137),"",IF(ISBLANK(DATA!C137),DATA2!E137,"Flag override: " &amp; TEXT(DATA!C137, "mm/dd/yyyy hh:mm") ))</f>
        <v/>
      </c>
      <c r="F137" s="27" t="str">
        <f>IF(ISBLANK(DATA2!F137),"",IF(ISBLANK(DATA!D137),DATA2!F137,"Flag override " &amp; TEXT(DATA!D137, "mm/dd/yyyy hh:mm")))</f>
        <v/>
      </c>
      <c r="G137" s="27" t="str">
        <f>IF(DATA2!G137 = 0, "", IF(ISBLANK(DATA2!G137),"",IF(ISBLANK(DATA!E137),DATA2!G137,"Flag override " &amp; TEXT(DATA!E137,"mm/dd/yyyy hh:mm"))))</f>
        <v/>
      </c>
      <c r="H137" s="25" t="str">
        <f>IF(DATA!$G137&gt;0,TEXT(DATA!G137,"mm/dd/yyyy hh:mm"),"")</f>
        <v/>
      </c>
      <c r="I137" s="21"/>
    </row>
    <row r="138" spans="2:9" ht="23.25" x14ac:dyDescent="0.25">
      <c r="B138" s="25" t="str">
        <f t="shared" si="5"/>
        <v/>
      </c>
      <c r="C138" s="25" t="str">
        <f>IF(NOT(ISBLANK(DATA2!C138)),DATA2!C138,"")</f>
        <v/>
      </c>
      <c r="D138" s="25" t="str">
        <f>IF(NOT(ISBLANK(DATA2!D138)),DATA2!D138,"")</f>
        <v/>
      </c>
      <c r="E138" s="26" t="str">
        <f>IF(ISBLANK(DATA2!E138),"",IF(ISBLANK(DATA!C138),DATA2!E138,"Flag override: " &amp; TEXT(DATA!C138, "mm/dd/yyyy hh:mm") ))</f>
        <v/>
      </c>
      <c r="F138" s="27" t="str">
        <f>IF(ISBLANK(DATA2!F138),"",IF(ISBLANK(DATA!D138),DATA2!F138,"Flag override " &amp; TEXT(DATA!D138, "mm/dd/yyyy hh:mm")))</f>
        <v/>
      </c>
      <c r="G138" s="27" t="str">
        <f>IF(DATA2!G138 = 0, "", IF(ISBLANK(DATA2!G138),"",IF(ISBLANK(DATA!E138),DATA2!G138,"Flag override " &amp; TEXT(DATA!E138,"mm/dd/yyyy hh:mm"))))</f>
        <v/>
      </c>
      <c r="H138" s="25" t="str">
        <f>IF(DATA!$G138&gt;0,TEXT(DATA!G138,"mm/dd/yyyy hh:mm"),"")</f>
        <v/>
      </c>
      <c r="I138" s="21"/>
    </row>
    <row r="139" spans="2:9" ht="23.25" x14ac:dyDescent="0.25">
      <c r="B139" s="25" t="str">
        <f t="shared" si="5"/>
        <v/>
      </c>
      <c r="C139" s="25" t="str">
        <f>IF(NOT(ISBLANK(DATA2!C139)),DATA2!C139,"")</f>
        <v/>
      </c>
      <c r="D139" s="25" t="str">
        <f>IF(NOT(ISBLANK(DATA2!D139)),DATA2!D139,"")</f>
        <v/>
      </c>
      <c r="E139" s="26" t="str">
        <f>IF(ISBLANK(DATA2!E139),"",IF(ISBLANK(DATA!C139),DATA2!E139,"Flag override: " &amp; TEXT(DATA!C139, "mm/dd/yyyy hh:mm") ))</f>
        <v/>
      </c>
      <c r="F139" s="27" t="str">
        <f>IF(ISBLANK(DATA2!F139),"",IF(ISBLANK(DATA!D139),DATA2!F139,"Flag override " &amp; TEXT(DATA!D139, "mm/dd/yyyy hh:mm")))</f>
        <v/>
      </c>
      <c r="G139" s="27" t="str">
        <f>IF(DATA2!G139 = 0, "", IF(ISBLANK(DATA2!G139),"",IF(ISBLANK(DATA!E139),DATA2!G139,"Flag override " &amp; TEXT(DATA!E139,"mm/dd/yyyy hh:mm"))))</f>
        <v/>
      </c>
      <c r="H139" s="25" t="str">
        <f>IF(DATA!$G139&gt;0,TEXT(DATA!G139,"mm/dd/yyyy hh:mm"),"")</f>
        <v/>
      </c>
      <c r="I139" s="21"/>
    </row>
    <row r="140" spans="2:9" ht="23.25" x14ac:dyDescent="0.25">
      <c r="B140" s="25" t="str">
        <f t="shared" si="5"/>
        <v/>
      </c>
      <c r="C140" s="25" t="str">
        <f>IF(NOT(ISBLANK(DATA2!C140)),DATA2!C140,"")</f>
        <v/>
      </c>
      <c r="D140" s="25" t="str">
        <f>IF(NOT(ISBLANK(DATA2!D140)),DATA2!D140,"")</f>
        <v/>
      </c>
      <c r="E140" s="26" t="str">
        <f>IF(ISBLANK(DATA2!E140),"",IF(ISBLANK(DATA!C140),DATA2!E140,"Flag override: " &amp; TEXT(DATA!C140, "mm/dd/yyyy hh:mm") ))</f>
        <v/>
      </c>
      <c r="F140" s="27" t="str">
        <f>IF(ISBLANK(DATA2!F140),"",IF(ISBLANK(DATA!D140),DATA2!F140,"Flag override " &amp; TEXT(DATA!D140, "mm/dd/yyyy hh:mm")))</f>
        <v/>
      </c>
      <c r="G140" s="27" t="str">
        <f>IF(DATA2!G140 = 0, "", IF(ISBLANK(DATA2!G140),"",IF(ISBLANK(DATA!E140),DATA2!G140,"Flag override " &amp; TEXT(DATA!E140,"mm/dd/yyyy hh:mm"))))</f>
        <v/>
      </c>
      <c r="H140" s="25" t="str">
        <f>IF(DATA!$G140&gt;0,TEXT(DATA!G140,"mm/dd/yyyy hh:mm"),"")</f>
        <v/>
      </c>
      <c r="I140" s="21"/>
    </row>
    <row r="141" spans="2:9" ht="23.25" x14ac:dyDescent="0.25">
      <c r="B141" s="25" t="str">
        <f t="shared" si="5"/>
        <v/>
      </c>
      <c r="C141" s="25" t="str">
        <f>IF(NOT(ISBLANK(DATA2!C141)),DATA2!C141,"")</f>
        <v/>
      </c>
      <c r="D141" s="25" t="str">
        <f>IF(NOT(ISBLANK(DATA2!D141)),DATA2!D141,"")</f>
        <v/>
      </c>
      <c r="E141" s="26" t="str">
        <f>IF(ISBLANK(DATA2!E141),"",IF(ISBLANK(DATA!C141),DATA2!E141,"Flag override: " &amp; TEXT(DATA!C141, "mm/dd/yyyy hh:mm") ))</f>
        <v/>
      </c>
      <c r="F141" s="27" t="str">
        <f>IF(ISBLANK(DATA2!F141),"",IF(ISBLANK(DATA!D141),DATA2!F141,"Flag override " &amp; TEXT(DATA!D141, "mm/dd/yyyy hh:mm")))</f>
        <v/>
      </c>
      <c r="G141" s="27" t="str">
        <f>IF(DATA2!G141 = 0, "", IF(ISBLANK(DATA2!G141),"",IF(ISBLANK(DATA!E141),DATA2!G141,"Flag override " &amp; TEXT(DATA!E141,"mm/dd/yyyy hh:mm"))))</f>
        <v/>
      </c>
      <c r="H141" s="25" t="str">
        <f>IF(DATA!$G141&gt;0,TEXT(DATA!G141,"mm/dd/yyyy hh:mm"),"")</f>
        <v/>
      </c>
      <c r="I141" s="21"/>
    </row>
    <row r="142" spans="2:9" ht="23.25" x14ac:dyDescent="0.25">
      <c r="B142" s="25" t="str">
        <f t="shared" si="5"/>
        <v/>
      </c>
      <c r="C142" s="25" t="str">
        <f>IF(NOT(ISBLANK(DATA2!C142)),DATA2!C142,"")</f>
        <v/>
      </c>
      <c r="D142" s="25" t="str">
        <f>IF(NOT(ISBLANK(DATA2!D142)),DATA2!D142,"")</f>
        <v/>
      </c>
      <c r="E142" s="26" t="str">
        <f>IF(ISBLANK(DATA2!E142),"",IF(ISBLANK(DATA!C142),DATA2!E142,"Flag override: " &amp; TEXT(DATA!C142, "mm/dd/yyyy hh:mm") ))</f>
        <v/>
      </c>
      <c r="F142" s="27" t="str">
        <f>IF(ISBLANK(DATA2!F142),"",IF(ISBLANK(DATA!D142),DATA2!F142,"Flag override " &amp; TEXT(DATA!D142, "mm/dd/yyyy hh:mm")))</f>
        <v/>
      </c>
      <c r="G142" s="27" t="str">
        <f>IF(DATA2!G142 = 0, "", IF(ISBLANK(DATA2!G142),"",IF(ISBLANK(DATA!E142),DATA2!G142,"Flag override " &amp; TEXT(DATA!E142,"mm/dd/yyyy hh:mm"))))</f>
        <v/>
      </c>
      <c r="H142" s="25" t="str">
        <f>IF(DATA!$G142&gt;0,TEXT(DATA!G142,"mm/dd/yyyy hh:mm"),"")</f>
        <v/>
      </c>
      <c r="I142" s="21"/>
    </row>
    <row r="143" spans="2:9" ht="23.25" x14ac:dyDescent="0.25">
      <c r="B143" s="25" t="str">
        <f t="shared" si="5"/>
        <v/>
      </c>
      <c r="C143" s="25" t="str">
        <f>IF(NOT(ISBLANK(DATA2!C143)),DATA2!C143,"")</f>
        <v/>
      </c>
      <c r="D143" s="25" t="str">
        <f>IF(NOT(ISBLANK(DATA2!D143)),DATA2!D143,"")</f>
        <v/>
      </c>
      <c r="E143" s="26" t="str">
        <f>IF(ISBLANK(DATA2!E143),"",IF(ISBLANK(DATA!C143),DATA2!E143,"Flag override: " &amp; TEXT(DATA!C143, "mm/dd/yyyy hh:mm") ))</f>
        <v/>
      </c>
      <c r="F143" s="27" t="str">
        <f>IF(ISBLANK(DATA2!F143),"",IF(ISBLANK(DATA!D143),DATA2!F143,"Flag override " &amp; TEXT(DATA!D143, "mm/dd/yyyy hh:mm")))</f>
        <v/>
      </c>
      <c r="G143" s="27" t="str">
        <f>IF(DATA2!G143 = 0, "", IF(ISBLANK(DATA2!G143),"",IF(ISBLANK(DATA!E143),DATA2!G143,"Flag override " &amp; TEXT(DATA!E143,"mm/dd/yyyy hh:mm"))))</f>
        <v/>
      </c>
      <c r="H143" s="25" t="str">
        <f>IF(DATA!$G143&gt;0,TEXT(DATA!G143,"mm/dd/yyyy hh:mm"),"")</f>
        <v/>
      </c>
      <c r="I143" s="21"/>
    </row>
    <row r="144" spans="2:9" ht="23.25" x14ac:dyDescent="0.25">
      <c r="B144" s="25" t="str">
        <f t="shared" si="5"/>
        <v/>
      </c>
      <c r="C144" s="25" t="str">
        <f>IF(NOT(ISBLANK(DATA2!C144)),DATA2!C144,"")</f>
        <v/>
      </c>
      <c r="D144" s="25" t="str">
        <f>IF(NOT(ISBLANK(DATA2!D144)),DATA2!D144,"")</f>
        <v/>
      </c>
      <c r="E144" s="26" t="str">
        <f>IF(ISBLANK(DATA2!E144),"",IF(ISBLANK(DATA!C144),DATA2!E144,"Flag override: " &amp; TEXT(DATA!C144, "mm/dd/yyyy hh:mm") ))</f>
        <v/>
      </c>
      <c r="F144" s="27" t="str">
        <f>IF(ISBLANK(DATA2!F144),"",IF(ISBLANK(DATA!D144),DATA2!F144,"Flag override " &amp; TEXT(DATA!D144, "mm/dd/yyyy hh:mm")))</f>
        <v/>
      </c>
      <c r="G144" s="27" t="str">
        <f>IF(DATA2!G144 = 0, "", IF(ISBLANK(DATA2!G144),"",IF(ISBLANK(DATA!E144),DATA2!G144,"Flag override " &amp; TEXT(DATA!E144,"mm/dd/yyyy hh:mm"))))</f>
        <v/>
      </c>
      <c r="H144" s="25" t="str">
        <f>IF(DATA!$G144&gt;0,TEXT(DATA!G144,"mm/dd/yyyy hh:mm"),"")</f>
        <v/>
      </c>
      <c r="I144" s="21"/>
    </row>
    <row r="145" spans="2:9" ht="23.25" x14ac:dyDescent="0.25">
      <c r="B145" s="25" t="str">
        <f t="shared" si="5"/>
        <v/>
      </c>
      <c r="C145" s="25" t="str">
        <f>IF(NOT(ISBLANK(DATA2!C145)),DATA2!C145,"")</f>
        <v/>
      </c>
      <c r="D145" s="25" t="str">
        <f>IF(NOT(ISBLANK(DATA2!D145)),DATA2!D145,"")</f>
        <v/>
      </c>
      <c r="E145" s="26" t="str">
        <f>IF(ISBLANK(DATA2!E145),"",IF(ISBLANK(DATA!C145),DATA2!E145,"Flag override: " &amp; TEXT(DATA!C145, "mm/dd/yyyy hh:mm") ))</f>
        <v/>
      </c>
      <c r="F145" s="27" t="str">
        <f>IF(ISBLANK(DATA2!F145),"",IF(ISBLANK(DATA!D145),DATA2!F145,"Flag override " &amp; TEXT(DATA!D145, "mm/dd/yyyy hh:mm")))</f>
        <v/>
      </c>
      <c r="G145" s="27" t="str">
        <f>IF(DATA2!G145 = 0, "", IF(ISBLANK(DATA2!G145),"",IF(ISBLANK(DATA!E145),DATA2!G145,"Flag override " &amp; TEXT(DATA!E145,"mm/dd/yyyy hh:mm"))))</f>
        <v/>
      </c>
      <c r="H145" s="25" t="str">
        <f>IF(DATA!$G145&gt;0,TEXT(DATA!G145,"mm/dd/yyyy hh:mm"),"")</f>
        <v/>
      </c>
      <c r="I145" s="21"/>
    </row>
    <row r="146" spans="2:9" ht="23.25" x14ac:dyDescent="0.25">
      <c r="B146" s="25" t="str">
        <f t="shared" si="5"/>
        <v/>
      </c>
      <c r="C146" s="25" t="str">
        <f>IF(NOT(ISBLANK(DATA2!C146)),DATA2!C146,"")</f>
        <v/>
      </c>
      <c r="D146" s="25" t="str">
        <f>IF(NOT(ISBLANK(DATA2!D146)),DATA2!D146,"")</f>
        <v/>
      </c>
      <c r="E146" s="26" t="str">
        <f>IF(ISBLANK(DATA2!E146),"",IF(ISBLANK(DATA!C146),DATA2!E146,"Flag override: " &amp; TEXT(DATA!C146, "mm/dd/yyyy hh:mm") ))</f>
        <v/>
      </c>
      <c r="F146" s="27" t="str">
        <f>IF(ISBLANK(DATA2!F146),"",IF(ISBLANK(DATA!D146),DATA2!F146,"Flag override " &amp; TEXT(DATA!D146, "mm/dd/yyyy hh:mm")))</f>
        <v/>
      </c>
      <c r="G146" s="27" t="str">
        <f>IF(DATA2!G146 = 0, "", IF(ISBLANK(DATA2!G146),"",IF(ISBLANK(DATA!E146),DATA2!G146,"Flag override " &amp; TEXT(DATA!E146,"mm/dd/yyyy hh:mm"))))</f>
        <v/>
      </c>
      <c r="H146" s="25" t="str">
        <f>IF(DATA!$G146&gt;0,TEXT(DATA!G146,"mm/dd/yyyy hh:mm"),"")</f>
        <v/>
      </c>
      <c r="I146" s="21"/>
    </row>
    <row r="147" spans="2:9" ht="23.25" x14ac:dyDescent="0.25">
      <c r="B147" s="25" t="str">
        <f t="shared" si="5"/>
        <v/>
      </c>
      <c r="C147" s="25" t="str">
        <f>IF(NOT(ISBLANK(DATA2!C147)),DATA2!C147,"")</f>
        <v/>
      </c>
      <c r="D147" s="25" t="str">
        <f>IF(NOT(ISBLANK(DATA2!D147)),DATA2!D147,"")</f>
        <v/>
      </c>
      <c r="E147" s="26" t="str">
        <f>IF(ISBLANK(DATA2!E147),"",IF(ISBLANK(DATA!C147),DATA2!E147,"Flag override: " &amp; TEXT(DATA!C147, "mm/dd/yyyy hh:mm") ))</f>
        <v/>
      </c>
      <c r="F147" s="27" t="str">
        <f>IF(ISBLANK(DATA2!F147),"",IF(ISBLANK(DATA!D147),DATA2!F147,"Flag override " &amp; TEXT(DATA!D147, "mm/dd/yyyy hh:mm")))</f>
        <v/>
      </c>
      <c r="G147" s="27" t="str">
        <f>IF(DATA2!G147 = 0, "", IF(ISBLANK(DATA2!G147),"",IF(ISBLANK(DATA!E147),DATA2!G147,"Flag override " &amp; TEXT(DATA!E147,"mm/dd/yyyy hh:mm"))))</f>
        <v/>
      </c>
      <c r="H147" s="25" t="str">
        <f>IF(DATA!$G147&gt;0,TEXT(DATA!G147,"mm/dd/yyyy hh:mm"),"")</f>
        <v/>
      </c>
      <c r="I147" s="21"/>
    </row>
    <row r="148" spans="2:9" ht="23.25" x14ac:dyDescent="0.25">
      <c r="B148" s="25" t="str">
        <f t="shared" si="5"/>
        <v/>
      </c>
      <c r="C148" s="25" t="str">
        <f>IF(NOT(ISBLANK(DATA2!C148)),DATA2!C148,"")</f>
        <v/>
      </c>
      <c r="D148" s="25" t="str">
        <f>IF(NOT(ISBLANK(DATA2!D148)),DATA2!D148,"")</f>
        <v/>
      </c>
      <c r="E148" s="26" t="str">
        <f>IF(ISBLANK(DATA2!E148),"",IF(ISBLANK(DATA!C148),DATA2!E148,"Flag override: " &amp; TEXT(DATA!C148, "mm/dd/yyyy hh:mm") ))</f>
        <v/>
      </c>
      <c r="F148" s="27" t="str">
        <f>IF(ISBLANK(DATA2!F148),"",IF(ISBLANK(DATA!D148),DATA2!F148,"Flag override " &amp; TEXT(DATA!D148, "mm/dd/yyyy hh:mm")))</f>
        <v/>
      </c>
      <c r="G148" s="27" t="str">
        <f>IF(DATA2!G148 = 0, "", IF(ISBLANK(DATA2!G148),"",IF(ISBLANK(DATA!E148),DATA2!G148,"Flag override " &amp; TEXT(DATA!E148,"mm/dd/yyyy hh:mm"))))</f>
        <v/>
      </c>
      <c r="H148" s="25" t="str">
        <f>IF(DATA!$G148&gt;0,TEXT(DATA!G148,"mm/dd/yyyy hh:mm"),"")</f>
        <v/>
      </c>
      <c r="I148" s="21"/>
    </row>
    <row r="149" spans="2:9" ht="23.25" x14ac:dyDescent="0.25">
      <c r="B149" s="25" t="str">
        <f t="shared" si="5"/>
        <v/>
      </c>
      <c r="C149" s="25" t="str">
        <f>IF(NOT(ISBLANK(DATA2!C149)),DATA2!C149,"")</f>
        <v/>
      </c>
      <c r="D149" s="25" t="str">
        <f>IF(NOT(ISBLANK(DATA2!D149)),DATA2!D149,"")</f>
        <v/>
      </c>
      <c r="E149" s="26" t="str">
        <f>IF(ISBLANK(DATA2!E149),"",IF(ISBLANK(DATA!C149),DATA2!E149,"Flag override: " &amp; TEXT(DATA!C149, "mm/dd/yyyy hh:mm") ))</f>
        <v/>
      </c>
      <c r="F149" s="27" t="str">
        <f>IF(ISBLANK(DATA2!F149),"",IF(ISBLANK(DATA!D149),DATA2!F149,"Flag override " &amp; TEXT(DATA!D149, "mm/dd/yyyy hh:mm")))</f>
        <v/>
      </c>
      <c r="G149" s="27" t="str">
        <f>IF(DATA2!G149 = 0, "", IF(ISBLANK(DATA2!G149),"",IF(ISBLANK(DATA!E149),DATA2!G149,"Flag override " &amp; TEXT(DATA!E149,"mm/dd/yyyy hh:mm"))))</f>
        <v/>
      </c>
      <c r="H149" s="25" t="str">
        <f>IF(DATA!$G149&gt;0,TEXT(DATA!G149,"mm/dd/yyyy hh:mm"),"")</f>
        <v/>
      </c>
      <c r="I149" s="21"/>
    </row>
    <row r="150" spans="2:9" ht="23.25" x14ac:dyDescent="0.25">
      <c r="B150" s="25" t="str">
        <f t="shared" si="5"/>
        <v/>
      </c>
      <c r="C150" s="25" t="str">
        <f>IF(NOT(ISBLANK(DATA2!C150)),DATA2!C150,"")</f>
        <v/>
      </c>
      <c r="D150" s="25" t="str">
        <f>IF(NOT(ISBLANK(DATA2!D150)),DATA2!D150,"")</f>
        <v/>
      </c>
      <c r="E150" s="26" t="str">
        <f>IF(ISBLANK(DATA2!E150),"",IF(ISBLANK(DATA!C150),DATA2!E150,"Flag override: " &amp; TEXT(DATA!C150, "mm/dd/yyyy hh:mm") ))</f>
        <v/>
      </c>
      <c r="F150" s="27" t="str">
        <f>IF(ISBLANK(DATA2!F150),"",IF(ISBLANK(DATA!D150),DATA2!F150,"Flag override " &amp; TEXT(DATA!D150, "mm/dd/yyyy hh:mm")))</f>
        <v/>
      </c>
      <c r="G150" s="27" t="str">
        <f>IF(DATA2!G150 = 0, "", IF(ISBLANK(DATA2!G150),"",IF(ISBLANK(DATA!E150),DATA2!G150,"Flag override " &amp; TEXT(DATA!E150,"mm/dd/yyyy hh:mm"))))</f>
        <v/>
      </c>
      <c r="H150" s="25" t="str">
        <f>IF(DATA!$G150&gt;0,TEXT(DATA!G150,"mm/dd/yyyy hh:mm"),"")</f>
        <v/>
      </c>
      <c r="I150" s="21"/>
    </row>
    <row r="151" spans="2:9" ht="23.25" x14ac:dyDescent="0.25">
      <c r="B151" s="25" t="str">
        <f t="shared" si="5"/>
        <v/>
      </c>
      <c r="C151" s="25" t="str">
        <f>IF(NOT(ISBLANK(DATA2!C151)),DATA2!C151,"")</f>
        <v/>
      </c>
      <c r="D151" s="25" t="str">
        <f>IF(NOT(ISBLANK(DATA2!D151)),DATA2!D151,"")</f>
        <v/>
      </c>
      <c r="E151" s="26" t="str">
        <f>IF(ISBLANK(DATA2!E151),"",IF(ISBLANK(DATA!C151),DATA2!E151,"Flag override: " &amp; TEXT(DATA!C151, "mm/dd/yyyy hh:mm") ))</f>
        <v/>
      </c>
      <c r="F151" s="27" t="str">
        <f>IF(ISBLANK(DATA2!F151),"",IF(ISBLANK(DATA!D151),DATA2!F151,"Flag override " &amp; TEXT(DATA!D151, "mm/dd/yyyy hh:mm")))</f>
        <v/>
      </c>
      <c r="G151" s="27" t="str">
        <f>IF(DATA2!G151 = 0, "", IF(ISBLANK(DATA2!G151),"",IF(ISBLANK(DATA!E151),DATA2!G151,"Flag override " &amp; TEXT(DATA!E151,"mm/dd/yyyy hh:mm"))))</f>
        <v/>
      </c>
      <c r="H151" s="25" t="str">
        <f>IF(DATA!$G151&gt;0,TEXT(DATA!G151,"mm/dd/yyyy hh:mm"),"")</f>
        <v/>
      </c>
      <c r="I151" s="21"/>
    </row>
    <row r="152" spans="2:9" ht="23.25" x14ac:dyDescent="0.25">
      <c r="B152" s="25" t="str">
        <f t="shared" si="5"/>
        <v/>
      </c>
      <c r="C152" s="25" t="str">
        <f>IF(NOT(ISBLANK(DATA2!C152)),DATA2!C152,"")</f>
        <v/>
      </c>
      <c r="D152" s="25" t="str">
        <f>IF(NOT(ISBLANK(DATA2!D152)),DATA2!D152,"")</f>
        <v/>
      </c>
      <c r="E152" s="26" t="str">
        <f>IF(ISBLANK(DATA2!E152),"",IF(ISBLANK(DATA!C152),DATA2!E152,"Flag override: " &amp; TEXT(DATA!C152, "mm/dd/yyyy hh:mm") ))</f>
        <v/>
      </c>
      <c r="F152" s="27" t="str">
        <f>IF(ISBLANK(DATA2!F152),"",IF(ISBLANK(DATA!D152),DATA2!F152,"Flag override " &amp; TEXT(DATA!D152, "mm/dd/yyyy hh:mm")))</f>
        <v/>
      </c>
      <c r="G152" s="27" t="str">
        <f>IF(DATA2!G152 = 0, "", IF(ISBLANK(DATA2!G152),"",IF(ISBLANK(DATA!E152),DATA2!G152,"Flag override " &amp; TEXT(DATA!E152,"mm/dd/yyyy hh:mm"))))</f>
        <v/>
      </c>
      <c r="H152" s="25" t="str">
        <f>IF(DATA!$G152&gt;0,TEXT(DATA!G152,"mm/dd/yyyy hh:mm"),"")</f>
        <v/>
      </c>
      <c r="I152" s="21"/>
    </row>
    <row r="153" spans="2:9" ht="23.25" x14ac:dyDescent="0.25">
      <c r="B153" s="25" t="str">
        <f t="shared" si="5"/>
        <v/>
      </c>
      <c r="C153" s="25" t="str">
        <f>IF(NOT(ISBLANK(DATA2!C153)),DATA2!C153,"")</f>
        <v/>
      </c>
      <c r="D153" s="25" t="str">
        <f>IF(NOT(ISBLANK(DATA2!D153)),DATA2!D153,"")</f>
        <v/>
      </c>
      <c r="E153" s="26" t="str">
        <f>IF(ISBLANK(DATA2!E153),"",IF(ISBLANK(DATA!C153),DATA2!E153,"Flag override: " &amp; TEXT(DATA!C153, "mm/dd/yyyy hh:mm") ))</f>
        <v/>
      </c>
      <c r="F153" s="27" t="str">
        <f>IF(ISBLANK(DATA2!F153),"",IF(ISBLANK(DATA!D153),DATA2!F153,"Flag override " &amp; TEXT(DATA!D153, "mm/dd/yyyy hh:mm")))</f>
        <v/>
      </c>
      <c r="G153" s="27" t="str">
        <f>IF(DATA2!G153 = 0, "", IF(ISBLANK(DATA2!G153),"",IF(ISBLANK(DATA!E153),DATA2!G153,"Flag override " &amp; TEXT(DATA!E153,"mm/dd/yyyy hh:mm"))))</f>
        <v/>
      </c>
      <c r="H153" s="25" t="str">
        <f>IF(DATA!$G153&gt;0,TEXT(DATA!G153,"mm/dd/yyyy hh:mm"),"")</f>
        <v/>
      </c>
      <c r="I153" s="21"/>
    </row>
    <row r="154" spans="2:9" ht="23.25" x14ac:dyDescent="0.25">
      <c r="B154" s="25" t="str">
        <f t="shared" si="5"/>
        <v/>
      </c>
      <c r="C154" s="25" t="str">
        <f>IF(NOT(ISBLANK(DATA2!C154)),DATA2!C154,"")</f>
        <v/>
      </c>
      <c r="D154" s="25" t="str">
        <f>IF(NOT(ISBLANK(DATA2!D154)),DATA2!D154,"")</f>
        <v/>
      </c>
      <c r="E154" s="26" t="str">
        <f>IF(ISBLANK(DATA2!E154),"",IF(ISBLANK(DATA!C154),DATA2!E154,"Flag override: " &amp; TEXT(DATA!C154, "mm/dd/yyyy hh:mm") ))</f>
        <v/>
      </c>
      <c r="F154" s="27" t="str">
        <f>IF(ISBLANK(DATA2!F154),"",IF(ISBLANK(DATA!D154),DATA2!F154,"Flag override " &amp; TEXT(DATA!D154, "mm/dd/yyyy hh:mm")))</f>
        <v/>
      </c>
      <c r="G154" s="27" t="str">
        <f>IF(DATA2!G154 = 0, "", IF(ISBLANK(DATA2!G154),"",IF(ISBLANK(DATA!E154),DATA2!G154,"Flag override " &amp; TEXT(DATA!E154,"mm/dd/yyyy hh:mm"))))</f>
        <v/>
      </c>
      <c r="H154" s="25" t="str">
        <f>IF(DATA!$G154&gt;0,TEXT(DATA!G154,"mm/dd/yyyy hh:mm"),"")</f>
        <v/>
      </c>
      <c r="I154" s="21"/>
    </row>
    <row r="155" spans="2:9" ht="23.25" x14ac:dyDescent="0.25">
      <c r="B155" s="25" t="str">
        <f t="shared" si="5"/>
        <v/>
      </c>
      <c r="C155" s="25" t="str">
        <f>IF(NOT(ISBLANK(DATA2!C155)),DATA2!C155,"")</f>
        <v/>
      </c>
      <c r="D155" s="25" t="str">
        <f>IF(NOT(ISBLANK(DATA2!D155)),DATA2!D155,"")</f>
        <v/>
      </c>
      <c r="E155" s="26" t="str">
        <f>IF(ISBLANK(DATA2!E155),"",IF(ISBLANK(DATA!C155),DATA2!E155,"Flag override: " &amp; TEXT(DATA!C155, "mm/dd/yyyy hh:mm") ))</f>
        <v/>
      </c>
      <c r="F155" s="27" t="str">
        <f>IF(ISBLANK(DATA2!F155),"",IF(ISBLANK(DATA!D155),DATA2!F155,"Flag override " &amp; TEXT(DATA!D155, "mm/dd/yyyy hh:mm")))</f>
        <v/>
      </c>
      <c r="G155" s="27" t="str">
        <f>IF(DATA2!G155 = 0, "", IF(ISBLANK(DATA2!G155),"",IF(ISBLANK(DATA!E155),DATA2!G155,"Flag override " &amp; TEXT(DATA!E155,"mm/dd/yyyy hh:mm"))))</f>
        <v/>
      </c>
      <c r="H155" s="25" t="str">
        <f>IF(DATA!$G155&gt;0,TEXT(DATA!G155,"mm/dd/yyyy hh:mm"),"")</f>
        <v/>
      </c>
      <c r="I155" s="21"/>
    </row>
    <row r="156" spans="2:9" ht="23.25" x14ac:dyDescent="0.25">
      <c r="B156" s="25" t="str">
        <f t="shared" si="5"/>
        <v/>
      </c>
      <c r="C156" s="25" t="str">
        <f>IF(NOT(ISBLANK(DATA2!C156)),DATA2!C156,"")</f>
        <v/>
      </c>
      <c r="D156" s="25" t="str">
        <f>IF(NOT(ISBLANK(DATA2!D156)),DATA2!D156,"")</f>
        <v/>
      </c>
      <c r="E156" s="26" t="str">
        <f>IF(ISBLANK(DATA2!E156),"",IF(ISBLANK(DATA!C156),DATA2!E156,"Flag override: " &amp; TEXT(DATA!C156, "mm/dd/yyyy hh:mm") ))</f>
        <v/>
      </c>
      <c r="F156" s="27" t="str">
        <f>IF(ISBLANK(DATA2!F156),"",IF(ISBLANK(DATA!D156),DATA2!F156,"Flag override " &amp; TEXT(DATA!D156, "mm/dd/yyyy hh:mm")))</f>
        <v/>
      </c>
      <c r="G156" s="27" t="str">
        <f>IF(DATA2!G156 = 0, "", IF(ISBLANK(DATA2!G156),"",IF(ISBLANK(DATA!E156),DATA2!G156,"Flag override " &amp; TEXT(DATA!E156,"mm/dd/yyyy hh:mm"))))</f>
        <v/>
      </c>
      <c r="H156" s="25" t="str">
        <f>IF(DATA!$G156&gt;0,TEXT(DATA!G156,"mm/dd/yyyy hh:mm"),"")</f>
        <v/>
      </c>
      <c r="I156" s="21"/>
    </row>
    <row r="157" spans="2:9" ht="23.25" x14ac:dyDescent="0.25">
      <c r="B157" s="25" t="str">
        <f t="shared" si="5"/>
        <v/>
      </c>
      <c r="C157" s="25" t="str">
        <f>IF(NOT(ISBLANK(DATA2!C157)),DATA2!C157,"")</f>
        <v/>
      </c>
      <c r="D157" s="25" t="str">
        <f>IF(NOT(ISBLANK(DATA2!D157)),DATA2!D157,"")</f>
        <v/>
      </c>
      <c r="E157" s="26" t="str">
        <f>IF(ISBLANK(DATA2!E157),"",IF(ISBLANK(DATA!C157),DATA2!E157,"Flag override: " &amp; TEXT(DATA!C157, "mm/dd/yyyy hh:mm") ))</f>
        <v/>
      </c>
      <c r="F157" s="27" t="str">
        <f>IF(ISBLANK(DATA2!F157),"",IF(ISBLANK(DATA!D157),DATA2!F157,"Flag override " &amp; TEXT(DATA!D157, "mm/dd/yyyy hh:mm")))</f>
        <v/>
      </c>
      <c r="G157" s="27" t="str">
        <f>IF(DATA2!G157 = 0, "", IF(ISBLANK(DATA2!G157),"",IF(ISBLANK(DATA!E157),DATA2!G157,"Flag override " &amp; TEXT(DATA!E157,"mm/dd/yyyy hh:mm"))))</f>
        <v/>
      </c>
      <c r="H157" s="25" t="str">
        <f>IF(DATA!$G157&gt;0,TEXT(DATA!G157,"mm/dd/yyyy hh:mm"),"")</f>
        <v/>
      </c>
      <c r="I157" s="21"/>
    </row>
    <row r="158" spans="2:9" ht="23.25" x14ac:dyDescent="0.25">
      <c r="B158" s="25" t="str">
        <f t="shared" si="5"/>
        <v/>
      </c>
      <c r="C158" s="25" t="str">
        <f>IF(NOT(ISBLANK(DATA2!C158)),DATA2!C158,"")</f>
        <v/>
      </c>
      <c r="D158" s="25" t="str">
        <f>IF(NOT(ISBLANK(DATA2!D158)),DATA2!D158,"")</f>
        <v/>
      </c>
      <c r="E158" s="26" t="str">
        <f>IF(ISBLANK(DATA2!E158),"",IF(ISBLANK(DATA!C158),DATA2!E158,"Flag override: " &amp; TEXT(DATA!C158, "mm/dd/yyyy hh:mm") ))</f>
        <v/>
      </c>
      <c r="F158" s="27" t="str">
        <f>IF(ISBLANK(DATA2!F158),"",IF(ISBLANK(DATA!D158),DATA2!F158,"Flag override " &amp; TEXT(DATA!D158, "mm/dd/yyyy hh:mm")))</f>
        <v/>
      </c>
      <c r="G158" s="27" t="str">
        <f>IF(DATA2!G158 = 0, "", IF(ISBLANK(DATA2!G158),"",IF(ISBLANK(DATA!E158),DATA2!G158,"Flag override " &amp; TEXT(DATA!E158,"mm/dd/yyyy hh:mm"))))</f>
        <v/>
      </c>
      <c r="H158" s="25" t="str">
        <f>IF(DATA!$G158&gt;0,TEXT(DATA!G158,"mm/dd/yyyy hh:mm"),"")</f>
        <v/>
      </c>
      <c r="I158" s="21"/>
    </row>
    <row r="159" spans="2:9" ht="23.25" x14ac:dyDescent="0.25">
      <c r="B159" s="25" t="str">
        <f t="shared" si="5"/>
        <v/>
      </c>
      <c r="C159" s="25" t="str">
        <f>IF(NOT(ISBLANK(DATA2!C159)),DATA2!C159,"")</f>
        <v/>
      </c>
      <c r="D159" s="25" t="str">
        <f>IF(NOT(ISBLANK(DATA2!D159)),DATA2!D159,"")</f>
        <v/>
      </c>
      <c r="E159" s="26" t="str">
        <f>IF(ISBLANK(DATA2!E159),"",IF(ISBLANK(DATA!C159),DATA2!E159,"Flag override: " &amp; TEXT(DATA!C159, "mm/dd/yyyy hh:mm") ))</f>
        <v/>
      </c>
      <c r="F159" s="27" t="str">
        <f>IF(ISBLANK(DATA2!F159),"",IF(ISBLANK(DATA!D159),DATA2!F159,"Flag override " &amp; TEXT(DATA!D159, "mm/dd/yyyy hh:mm")))</f>
        <v/>
      </c>
      <c r="G159" s="27" t="str">
        <f>IF(DATA2!G159 = 0, "", IF(ISBLANK(DATA2!G159),"",IF(ISBLANK(DATA!E159),DATA2!G159,"Flag override " &amp; TEXT(DATA!E159,"mm/dd/yyyy hh:mm"))))</f>
        <v/>
      </c>
      <c r="H159" s="25" t="str">
        <f>IF(DATA!$G159&gt;0,TEXT(DATA!G159,"mm/dd/yyyy hh:mm"),"")</f>
        <v/>
      </c>
      <c r="I159" s="21"/>
    </row>
    <row r="160" spans="2:9" ht="23.25" x14ac:dyDescent="0.25">
      <c r="B160" s="25" t="str">
        <f t="shared" si="5"/>
        <v/>
      </c>
      <c r="C160" s="25" t="str">
        <f>IF(NOT(ISBLANK(DATA2!C160)),DATA2!C160,"")</f>
        <v/>
      </c>
      <c r="D160" s="25" t="str">
        <f>IF(NOT(ISBLANK(DATA2!D160)),DATA2!D160,"")</f>
        <v/>
      </c>
      <c r="E160" s="26" t="str">
        <f>IF(ISBLANK(DATA2!E160),"",IF(ISBLANK(DATA!C160),DATA2!E160,"Flag override: " &amp; TEXT(DATA!C160, "mm/dd/yyyy hh:mm") ))</f>
        <v/>
      </c>
      <c r="F160" s="27" t="str">
        <f>IF(ISBLANK(DATA2!F160),"",IF(ISBLANK(DATA!D160),DATA2!F160,"Flag override " &amp; TEXT(DATA!D160, "mm/dd/yyyy hh:mm")))</f>
        <v/>
      </c>
      <c r="G160" s="27" t="str">
        <f>IF(DATA2!G160 = 0, "", IF(ISBLANK(DATA2!G160),"",IF(ISBLANK(DATA!E160),DATA2!G160,"Flag override " &amp; TEXT(DATA!E160,"mm/dd/yyyy hh:mm"))))</f>
        <v/>
      </c>
      <c r="H160" s="25" t="str">
        <f>IF(DATA!$G160&gt;0,TEXT(DATA!G160,"mm/dd/yyyy hh:mm"),"")</f>
        <v/>
      </c>
      <c r="I160" s="21"/>
    </row>
    <row r="161" spans="2:9" ht="23.25" x14ac:dyDescent="0.25">
      <c r="B161" s="25" t="str">
        <f t="shared" si="5"/>
        <v/>
      </c>
      <c r="C161" s="25" t="str">
        <f>IF(NOT(ISBLANK(DATA2!C161)),DATA2!C161,"")</f>
        <v/>
      </c>
      <c r="D161" s="25" t="str">
        <f>IF(NOT(ISBLANK(DATA2!D161)),DATA2!D161,"")</f>
        <v/>
      </c>
      <c r="E161" s="26" t="str">
        <f>IF(ISBLANK(DATA2!E161),"",IF(ISBLANK(DATA!C161),DATA2!E161,"Flag override: " &amp; TEXT(DATA!C161, "mm/dd/yyyy hh:mm") ))</f>
        <v/>
      </c>
      <c r="F161" s="27" t="str">
        <f>IF(ISBLANK(DATA2!F161),"",IF(ISBLANK(DATA!D161),DATA2!F161,"Flag override " &amp; TEXT(DATA!D161, "mm/dd/yyyy hh:mm")))</f>
        <v/>
      </c>
      <c r="G161" s="27" t="str">
        <f>IF(DATA2!G161 = 0, "", IF(ISBLANK(DATA2!G161),"",IF(ISBLANK(DATA!E161),DATA2!G161,"Flag override " &amp; TEXT(DATA!E161,"mm/dd/yyyy hh:mm"))))</f>
        <v/>
      </c>
      <c r="H161" s="25" t="str">
        <f>IF(DATA!$G161&gt;0,TEXT(DATA!G161,"mm/dd/yyyy hh:mm"),"")</f>
        <v/>
      </c>
      <c r="I161" s="21"/>
    </row>
    <row r="162" spans="2:9" ht="23.25" x14ac:dyDescent="0.25">
      <c r="B162" s="25" t="str">
        <f t="shared" si="5"/>
        <v/>
      </c>
      <c r="C162" s="25" t="str">
        <f>IF(NOT(ISBLANK(DATA2!C162)),DATA2!C162,"")</f>
        <v/>
      </c>
      <c r="D162" s="25" t="str">
        <f>IF(NOT(ISBLANK(DATA2!D162)),DATA2!D162,"")</f>
        <v/>
      </c>
      <c r="E162" s="26" t="str">
        <f>IF(ISBLANK(DATA2!E162),"",IF(ISBLANK(DATA!C162),DATA2!E162,"Flag override: " &amp; TEXT(DATA!C162, "mm/dd/yyyy hh:mm") ))</f>
        <v/>
      </c>
      <c r="F162" s="27" t="str">
        <f>IF(ISBLANK(DATA2!F162),"",IF(ISBLANK(DATA!D162),DATA2!F162,"Flag override " &amp; TEXT(DATA!D162, "mm/dd/yyyy hh:mm")))</f>
        <v/>
      </c>
      <c r="G162" s="27" t="str">
        <f>IF(DATA2!G162 = 0, "", IF(ISBLANK(DATA2!G162),"",IF(ISBLANK(DATA!E162),DATA2!G162,"Flag override " &amp; TEXT(DATA!E162,"mm/dd/yyyy hh:mm"))))</f>
        <v/>
      </c>
      <c r="H162" s="25" t="str">
        <f>IF(DATA!$G162&gt;0,TEXT(DATA!G162,"mm/dd/yyyy hh:mm"),"")</f>
        <v/>
      </c>
      <c r="I162" s="21"/>
    </row>
    <row r="163" spans="2:9" ht="23.25" x14ac:dyDescent="0.25">
      <c r="B163" s="25" t="str">
        <f t="shared" si="5"/>
        <v/>
      </c>
      <c r="C163" s="25" t="str">
        <f>IF(NOT(ISBLANK(DATA2!C163)),DATA2!C163,"")</f>
        <v/>
      </c>
      <c r="D163" s="25" t="str">
        <f>IF(NOT(ISBLANK(DATA2!D163)),DATA2!D163,"")</f>
        <v/>
      </c>
      <c r="E163" s="26" t="str">
        <f>IF(ISBLANK(DATA2!E163),"",IF(ISBLANK(DATA!C163),DATA2!E163,"Flag override: " &amp; TEXT(DATA!C163, "mm/dd/yyyy hh:mm") ))</f>
        <v/>
      </c>
      <c r="F163" s="27" t="str">
        <f>IF(ISBLANK(DATA2!F163),"",IF(ISBLANK(DATA!D163),DATA2!F163,"Flag override " &amp; TEXT(DATA!D163, "mm/dd/yyyy hh:mm")))</f>
        <v/>
      </c>
      <c r="G163" s="27" t="str">
        <f>IF(DATA2!G163 = 0, "", IF(ISBLANK(DATA2!G163),"",IF(ISBLANK(DATA!E163),DATA2!G163,"Flag override " &amp; TEXT(DATA!E163,"mm/dd/yyyy hh:mm"))))</f>
        <v/>
      </c>
      <c r="H163" s="25" t="str">
        <f>IF(DATA!$G163&gt;0,TEXT(DATA!G163,"mm/dd/yyyy hh:mm"),"")</f>
        <v/>
      </c>
      <c r="I163" s="21"/>
    </row>
    <row r="164" spans="2:9" ht="23.25" x14ac:dyDescent="0.25">
      <c r="B164" s="25" t="str">
        <f t="shared" si="5"/>
        <v/>
      </c>
      <c r="C164" s="25" t="str">
        <f>IF(NOT(ISBLANK(DATA2!C164)),DATA2!C164,"")</f>
        <v/>
      </c>
      <c r="D164" s="25" t="str">
        <f>IF(NOT(ISBLANK(DATA2!D164)),DATA2!D164,"")</f>
        <v/>
      </c>
      <c r="E164" s="26" t="str">
        <f>IF(ISBLANK(DATA2!E164),"",IF(ISBLANK(DATA!C164),DATA2!E164,"Flag override: " &amp; TEXT(DATA!C164, "mm/dd/yyyy hh:mm") ))</f>
        <v/>
      </c>
      <c r="F164" s="27" t="str">
        <f>IF(ISBLANK(DATA2!F164),"",IF(ISBLANK(DATA!D164),DATA2!F164,"Flag override " &amp; TEXT(DATA!D164, "mm/dd/yyyy hh:mm")))</f>
        <v/>
      </c>
      <c r="G164" s="27" t="str">
        <f>IF(DATA2!G164 = 0, "", IF(ISBLANK(DATA2!G164),"",IF(ISBLANK(DATA!E164),DATA2!G164,"Flag override " &amp; TEXT(DATA!E164,"mm/dd/yyyy hh:mm"))))</f>
        <v/>
      </c>
      <c r="H164" s="25" t="str">
        <f>IF(DATA!$G164&gt;0,TEXT(DATA!G164,"mm/dd/yyyy hh:mm"),"")</f>
        <v/>
      </c>
      <c r="I164" s="21"/>
    </row>
    <row r="165" spans="2:9" ht="23.25" x14ac:dyDescent="0.25">
      <c r="B165" s="25" t="str">
        <f t="shared" si="5"/>
        <v/>
      </c>
      <c r="C165" s="25" t="str">
        <f>IF(NOT(ISBLANK(DATA2!C165)),DATA2!C165,"")</f>
        <v/>
      </c>
      <c r="D165" s="25" t="str">
        <f>IF(NOT(ISBLANK(DATA2!D165)),DATA2!D165,"")</f>
        <v/>
      </c>
      <c r="E165" s="26" t="str">
        <f>IF(ISBLANK(DATA2!E165),"",IF(ISBLANK(DATA!C165),DATA2!E165,"Flag override: " &amp; TEXT(DATA!C165, "mm/dd/yyyy hh:mm") ))</f>
        <v/>
      </c>
      <c r="F165" s="27" t="str">
        <f>IF(ISBLANK(DATA2!F165),"",IF(ISBLANK(DATA!D165),DATA2!F165,"Flag override " &amp; TEXT(DATA!D165, "mm/dd/yyyy hh:mm")))</f>
        <v/>
      </c>
      <c r="G165" s="27" t="str">
        <f>IF(DATA2!G165 = 0, "", IF(ISBLANK(DATA2!G165),"",IF(ISBLANK(DATA!E165),DATA2!G165,"Flag override " &amp; TEXT(DATA!E165,"mm/dd/yyyy hh:mm"))))</f>
        <v/>
      </c>
      <c r="H165" s="25" t="str">
        <f>IF(DATA!$G165&gt;0,TEXT(DATA!G165,"mm/dd/yyyy hh:mm"),"")</f>
        <v/>
      </c>
      <c r="I165" s="21"/>
    </row>
    <row r="166" spans="2:9" ht="23.25" x14ac:dyDescent="0.25">
      <c r="B166" s="25" t="str">
        <f t="shared" si="5"/>
        <v/>
      </c>
      <c r="C166" s="25" t="str">
        <f>IF(NOT(ISBLANK(DATA2!C166)),DATA2!C166,"")</f>
        <v/>
      </c>
      <c r="D166" s="25" t="str">
        <f>IF(NOT(ISBLANK(DATA2!D166)),DATA2!D166,"")</f>
        <v/>
      </c>
      <c r="E166" s="26" t="str">
        <f>IF(ISBLANK(DATA2!E166),"",IF(ISBLANK(DATA!C166),DATA2!E166,"Flag override: " &amp; TEXT(DATA!C166, "mm/dd/yyyy hh:mm") ))</f>
        <v/>
      </c>
      <c r="F166" s="27" t="str">
        <f>IF(ISBLANK(DATA2!F166),"",IF(ISBLANK(DATA!D166),DATA2!F166,"Flag override " &amp; TEXT(DATA!D166, "mm/dd/yyyy hh:mm")))</f>
        <v/>
      </c>
      <c r="G166" s="27" t="str">
        <f>IF(DATA2!G166 = 0, "", IF(ISBLANK(DATA2!G166),"",IF(ISBLANK(DATA!E166),DATA2!G166,"Flag override " &amp; TEXT(DATA!E166,"mm/dd/yyyy hh:mm"))))</f>
        <v/>
      </c>
      <c r="H166" s="25" t="str">
        <f>IF(DATA!$G166&gt;0,TEXT(DATA!G166,"mm/dd/yyyy hh:mm"),"")</f>
        <v/>
      </c>
      <c r="I166" s="21"/>
    </row>
    <row r="167" spans="2:9" ht="23.25" x14ac:dyDescent="0.25">
      <c r="B167" s="25" t="str">
        <f t="shared" si="5"/>
        <v/>
      </c>
      <c r="C167" s="25" t="str">
        <f>IF(NOT(ISBLANK(DATA2!C167)),DATA2!C167,"")</f>
        <v/>
      </c>
      <c r="D167" s="25" t="str">
        <f>IF(NOT(ISBLANK(DATA2!D167)),DATA2!D167,"")</f>
        <v/>
      </c>
      <c r="E167" s="26" t="str">
        <f>IF(ISBLANK(DATA2!E167),"",IF(ISBLANK(DATA!C167),DATA2!E167,"Flag override: " &amp; TEXT(DATA!C167, "mm/dd/yyyy hh:mm") ))</f>
        <v/>
      </c>
      <c r="F167" s="27" t="str">
        <f>IF(ISBLANK(DATA2!F167),"",IF(ISBLANK(DATA!D167),DATA2!F167,"Flag override " &amp; TEXT(DATA!D167, "mm/dd/yyyy hh:mm")))</f>
        <v/>
      </c>
      <c r="G167" s="27" t="str">
        <f>IF(DATA2!G167 = 0, "", IF(ISBLANK(DATA2!G167),"",IF(ISBLANK(DATA!E167),DATA2!G167,"Flag override " &amp; TEXT(DATA!E167,"mm/dd/yyyy hh:mm"))))</f>
        <v/>
      </c>
      <c r="H167" s="25" t="str">
        <f>IF(DATA!$G167&gt;0,TEXT(DATA!G167,"mm/dd/yyyy hh:mm"),"")</f>
        <v/>
      </c>
      <c r="I167" s="21"/>
    </row>
    <row r="168" spans="2:9" ht="23.25" x14ac:dyDescent="0.25">
      <c r="B168" s="25" t="str">
        <f t="shared" si="5"/>
        <v/>
      </c>
      <c r="C168" s="25" t="str">
        <f>IF(NOT(ISBLANK(DATA2!C168)),DATA2!C168,"")</f>
        <v/>
      </c>
      <c r="D168" s="25" t="str">
        <f>IF(NOT(ISBLANK(DATA2!D168)),DATA2!D168,"")</f>
        <v/>
      </c>
      <c r="E168" s="26" t="str">
        <f>IF(ISBLANK(DATA2!E168),"",IF(ISBLANK(DATA!C168),DATA2!E168,"Flag override: " &amp; TEXT(DATA!C168, "mm/dd/yyyy hh:mm") ))</f>
        <v/>
      </c>
      <c r="F168" s="27" t="str">
        <f>IF(ISBLANK(DATA2!F168),"",IF(ISBLANK(DATA!D168),DATA2!F168,"Flag override " &amp; TEXT(DATA!D168, "mm/dd/yyyy hh:mm")))</f>
        <v/>
      </c>
      <c r="G168" s="27" t="str">
        <f>IF(DATA2!G168 = 0, "", IF(ISBLANK(DATA2!G168),"",IF(ISBLANK(DATA!E168),DATA2!G168,"Flag override " &amp; TEXT(DATA!E168,"mm/dd/yyyy hh:mm"))))</f>
        <v/>
      </c>
      <c r="H168" s="25" t="str">
        <f>IF(DATA!$G168&gt;0,TEXT(DATA!G168,"mm/dd/yyyy hh:mm"),"")</f>
        <v/>
      </c>
      <c r="I168" s="21"/>
    </row>
    <row r="169" spans="2:9" ht="23.25" x14ac:dyDescent="0.25">
      <c r="B169" s="25" t="str">
        <f t="shared" si="5"/>
        <v/>
      </c>
      <c r="C169" s="25" t="str">
        <f>IF(NOT(ISBLANK(DATA2!C169)),DATA2!C169,"")</f>
        <v/>
      </c>
      <c r="D169" s="25" t="str">
        <f>IF(NOT(ISBLANK(DATA2!D169)),DATA2!D169,"")</f>
        <v/>
      </c>
      <c r="E169" s="26" t="str">
        <f>IF(ISBLANK(DATA2!E169),"",IF(ISBLANK(DATA!C169),DATA2!E169,"Flag override: " &amp; TEXT(DATA!C169, "mm/dd/yyyy hh:mm") ))</f>
        <v/>
      </c>
      <c r="F169" s="27" t="str">
        <f>IF(ISBLANK(DATA2!F169),"",IF(ISBLANK(DATA!D169),DATA2!F169,"Flag override " &amp; TEXT(DATA!D169, "mm/dd/yyyy hh:mm")))</f>
        <v/>
      </c>
      <c r="G169" s="27" t="str">
        <f>IF(DATA2!G169 = 0, "", IF(ISBLANK(DATA2!G169),"",IF(ISBLANK(DATA!E169),DATA2!G169,"Flag override " &amp; TEXT(DATA!E169,"mm/dd/yyyy hh:mm"))))</f>
        <v/>
      </c>
      <c r="H169" s="25" t="str">
        <f>IF(DATA!$G169&gt;0,TEXT(DATA!G169,"mm/dd/yyyy hh:mm"),"")</f>
        <v/>
      </c>
      <c r="I169" s="21"/>
    </row>
    <row r="170" spans="2:9" ht="23.25" x14ac:dyDescent="0.25">
      <c r="B170" s="25" t="str">
        <f t="shared" si="5"/>
        <v/>
      </c>
      <c r="C170" s="25" t="str">
        <f>IF(NOT(ISBLANK(DATA2!C170)),DATA2!C170,"")</f>
        <v/>
      </c>
      <c r="D170" s="25" t="str">
        <f>IF(NOT(ISBLANK(DATA2!D170)),DATA2!D170,"")</f>
        <v/>
      </c>
      <c r="E170" s="26" t="str">
        <f>IF(ISBLANK(DATA2!E170),"",IF(ISBLANK(DATA!C170),DATA2!E170,"Flag override: " &amp; TEXT(DATA!C170, "mm/dd/yyyy hh:mm") ))</f>
        <v/>
      </c>
      <c r="F170" s="27" t="str">
        <f>IF(ISBLANK(DATA2!F170),"",IF(ISBLANK(DATA!D170),DATA2!F170,"Flag override " &amp; TEXT(DATA!D170, "mm/dd/yyyy hh:mm")))</f>
        <v/>
      </c>
      <c r="G170" s="27" t="str">
        <f>IF(DATA2!G170 = 0, "", IF(ISBLANK(DATA2!G170),"",IF(ISBLANK(DATA!E170),DATA2!G170,"Flag override " &amp; TEXT(DATA!E170,"mm/dd/yyyy hh:mm"))))</f>
        <v/>
      </c>
      <c r="H170" s="25" t="str">
        <f>IF(DATA!$G170&gt;0,TEXT(DATA!G170,"mm/dd/yyyy hh:mm"),"")</f>
        <v/>
      </c>
      <c r="I170" s="21"/>
    </row>
    <row r="171" spans="2:9" ht="23.25" x14ac:dyDescent="0.25">
      <c r="B171" s="25" t="str">
        <f t="shared" si="5"/>
        <v/>
      </c>
      <c r="C171" s="25" t="str">
        <f>IF(NOT(ISBLANK(DATA2!C171)),DATA2!C171,"")</f>
        <v/>
      </c>
      <c r="D171" s="25" t="str">
        <f>IF(NOT(ISBLANK(DATA2!D171)),DATA2!D171,"")</f>
        <v/>
      </c>
      <c r="E171" s="26" t="str">
        <f>IF(ISBLANK(DATA2!E171),"",IF(ISBLANK(DATA!C171),DATA2!E171,"Flag override: " &amp; TEXT(DATA!C171, "mm/dd/yyyy hh:mm") ))</f>
        <v/>
      </c>
      <c r="F171" s="27" t="str">
        <f>IF(ISBLANK(DATA2!F171),"",IF(ISBLANK(DATA!D171),DATA2!F171,"Flag override " &amp; TEXT(DATA!D171, "mm/dd/yyyy hh:mm")))</f>
        <v/>
      </c>
      <c r="G171" s="27" t="str">
        <f>IF(DATA2!G171 = 0, "", IF(ISBLANK(DATA2!G171),"",IF(ISBLANK(DATA!E171),DATA2!G171,"Flag override " &amp; TEXT(DATA!E171,"mm/dd/yyyy hh:mm"))))</f>
        <v/>
      </c>
      <c r="H171" s="25" t="str">
        <f>IF(DATA!$G171&gt;0,TEXT(DATA!G171,"mm/dd/yyyy hh:mm"),"")</f>
        <v/>
      </c>
      <c r="I171" s="21"/>
    </row>
    <row r="172" spans="2:9" ht="23.25" x14ac:dyDescent="0.25">
      <c r="B172" s="25" t="str">
        <f t="shared" si="5"/>
        <v/>
      </c>
      <c r="C172" s="25" t="str">
        <f>IF(NOT(ISBLANK(DATA2!C172)),DATA2!C172,"")</f>
        <v/>
      </c>
      <c r="D172" s="25" t="str">
        <f>IF(NOT(ISBLANK(DATA2!D172)),DATA2!D172,"")</f>
        <v/>
      </c>
      <c r="E172" s="26" t="str">
        <f>IF(ISBLANK(DATA2!E172),"",IF(ISBLANK(DATA!C172),DATA2!E172,"Flag override: " &amp; TEXT(DATA!C172, "mm/dd/yyyy hh:mm") ))</f>
        <v/>
      </c>
      <c r="F172" s="27" t="str">
        <f>IF(ISBLANK(DATA2!F172),"",IF(ISBLANK(DATA!D172),DATA2!F172,"Flag override " &amp; TEXT(DATA!D172, "mm/dd/yyyy hh:mm")))</f>
        <v/>
      </c>
      <c r="G172" s="27" t="str">
        <f>IF(DATA2!G172 = 0, "", IF(ISBLANK(DATA2!G172),"",IF(ISBLANK(DATA!E172),DATA2!G172,"Flag override " &amp; TEXT(DATA!E172,"mm/dd/yyyy hh:mm"))))</f>
        <v/>
      </c>
      <c r="H172" s="25" t="str">
        <f>IF(DATA!$G172&gt;0,TEXT(DATA!G172,"mm/dd/yyyy hh:mm"),"")</f>
        <v/>
      </c>
      <c r="I172" s="21"/>
    </row>
    <row r="173" spans="2:9" ht="23.25" x14ac:dyDescent="0.25">
      <c r="B173" s="25" t="str">
        <f t="shared" si="5"/>
        <v/>
      </c>
      <c r="C173" s="25" t="str">
        <f>IF(NOT(ISBLANK(DATA2!C173)),DATA2!C173,"")</f>
        <v/>
      </c>
      <c r="D173" s="25" t="str">
        <f>IF(NOT(ISBLANK(DATA2!D173)),DATA2!D173,"")</f>
        <v/>
      </c>
      <c r="E173" s="26" t="str">
        <f>IF(ISBLANK(DATA2!E173),"",IF(ISBLANK(DATA!C173),DATA2!E173,"Flag override: " &amp; TEXT(DATA!C173, "mm/dd/yyyy hh:mm") ))</f>
        <v/>
      </c>
      <c r="F173" s="27" t="str">
        <f>IF(ISBLANK(DATA2!F173),"",IF(ISBLANK(DATA!D173),DATA2!F173,"Flag override " &amp; TEXT(DATA!D173, "mm/dd/yyyy hh:mm")))</f>
        <v/>
      </c>
      <c r="G173" s="27" t="str">
        <f>IF(DATA2!G173 = 0, "", IF(ISBLANK(DATA2!G173),"",IF(ISBLANK(DATA!E173),DATA2!G173,"Flag override " &amp; TEXT(DATA!E173,"mm/dd/yyyy hh:mm"))))</f>
        <v/>
      </c>
      <c r="H173" s="25" t="str">
        <f>IF(DATA!$G173&gt;0,TEXT(DATA!G173,"mm/dd/yyyy hh:mm"),"")</f>
        <v/>
      </c>
      <c r="I173" s="21"/>
    </row>
    <row r="174" spans="2:9" ht="23.25" x14ac:dyDescent="0.25">
      <c r="B174" s="25" t="str">
        <f t="shared" si="5"/>
        <v/>
      </c>
      <c r="C174" s="25" t="str">
        <f>IF(NOT(ISBLANK(DATA2!C174)),DATA2!C174,"")</f>
        <v/>
      </c>
      <c r="D174" s="25" t="str">
        <f>IF(NOT(ISBLANK(DATA2!D174)),DATA2!D174,"")</f>
        <v/>
      </c>
      <c r="E174" s="26" t="str">
        <f>IF(ISBLANK(DATA2!E174),"",IF(ISBLANK(DATA!C174),DATA2!E174,"Flag override: " &amp; TEXT(DATA!C174, "mm/dd/yyyy hh:mm") ))</f>
        <v/>
      </c>
      <c r="F174" s="27" t="str">
        <f>IF(ISBLANK(DATA2!F174),"",IF(ISBLANK(DATA!D174),DATA2!F174,"Flag override " &amp; TEXT(DATA!D174, "mm/dd/yyyy hh:mm")))</f>
        <v/>
      </c>
      <c r="G174" s="27" t="str">
        <f>IF(DATA2!G174 = 0, "", IF(ISBLANK(DATA2!G174),"",IF(ISBLANK(DATA!E174),DATA2!G174,"Flag override " &amp; TEXT(DATA!E174,"mm/dd/yyyy hh:mm"))))</f>
        <v/>
      </c>
      <c r="H174" s="25" t="str">
        <f>IF(DATA!$G174&gt;0,TEXT(DATA!G174,"mm/dd/yyyy hh:mm"),"")</f>
        <v/>
      </c>
      <c r="I174" s="21"/>
    </row>
    <row r="175" spans="2:9" ht="23.25" x14ac:dyDescent="0.25">
      <c r="B175" s="25" t="str">
        <f t="shared" si="5"/>
        <v/>
      </c>
      <c r="C175" s="25" t="str">
        <f>IF(NOT(ISBLANK(DATA2!C175)),DATA2!C175,"")</f>
        <v/>
      </c>
      <c r="D175" s="25" t="str">
        <f>IF(NOT(ISBLANK(DATA2!D175)),DATA2!D175,"")</f>
        <v/>
      </c>
      <c r="E175" s="26" t="str">
        <f>IF(ISBLANK(DATA2!E175),"",IF(ISBLANK(DATA!C175),DATA2!E175,"Flag override: " &amp; TEXT(DATA!C175, "mm/dd/yyyy hh:mm") ))</f>
        <v/>
      </c>
      <c r="F175" s="27" t="str">
        <f>IF(ISBLANK(DATA2!F175),"",IF(ISBLANK(DATA!D175),DATA2!F175,"Flag override " &amp; TEXT(DATA!D175, "mm/dd/yyyy hh:mm")))</f>
        <v/>
      </c>
      <c r="G175" s="27" t="str">
        <f>IF(DATA2!G175 = 0, "", IF(ISBLANK(DATA2!G175),"",IF(ISBLANK(DATA!E175),DATA2!G175,"Flag override " &amp; TEXT(DATA!E175,"mm/dd/yyyy hh:mm"))))</f>
        <v/>
      </c>
      <c r="H175" s="25" t="str">
        <f>IF(DATA!$G175&gt;0,TEXT(DATA!G175,"mm/dd/yyyy hh:mm"),"")</f>
        <v/>
      </c>
      <c r="I175" s="21"/>
    </row>
    <row r="176" spans="2:9" ht="23.25" x14ac:dyDescent="0.25">
      <c r="B176" s="25" t="str">
        <f t="shared" si="5"/>
        <v/>
      </c>
      <c r="C176" s="25" t="str">
        <f>IF(NOT(ISBLANK(DATA2!C176)),DATA2!C176,"")</f>
        <v/>
      </c>
      <c r="D176" s="25" t="str">
        <f>IF(NOT(ISBLANK(DATA2!D176)),DATA2!D176,"")</f>
        <v/>
      </c>
      <c r="E176" s="26" t="str">
        <f>IF(ISBLANK(DATA2!E176),"",IF(ISBLANK(DATA!C176),DATA2!E176,"Flag override: " &amp; TEXT(DATA!C176, "mm/dd/yyyy hh:mm") ))</f>
        <v/>
      </c>
      <c r="F176" s="27" t="str">
        <f>IF(ISBLANK(DATA2!F176),"",IF(ISBLANK(DATA!D176),DATA2!F176,"Flag override " &amp; TEXT(DATA!D176, "mm/dd/yyyy hh:mm")))</f>
        <v/>
      </c>
      <c r="G176" s="27" t="str">
        <f>IF(DATA2!G176 = 0, "", IF(ISBLANK(DATA2!G176),"",IF(ISBLANK(DATA!E176),DATA2!G176,"Flag override " &amp; TEXT(DATA!E176,"mm/dd/yyyy hh:mm"))))</f>
        <v/>
      </c>
      <c r="H176" s="25" t="str">
        <f>IF(DATA!$G176&gt;0,TEXT(DATA!G176,"mm/dd/yyyy hh:mm"),"")</f>
        <v/>
      </c>
      <c r="I176" s="21"/>
    </row>
    <row r="177" spans="2:9" ht="23.25" x14ac:dyDescent="0.25">
      <c r="B177" s="25" t="str">
        <f t="shared" si="5"/>
        <v/>
      </c>
      <c r="C177" s="25" t="str">
        <f>IF(NOT(ISBLANK(DATA2!C177)),DATA2!C177,"")</f>
        <v/>
      </c>
      <c r="D177" s="25" t="str">
        <f>IF(NOT(ISBLANK(DATA2!D177)),DATA2!D177,"")</f>
        <v/>
      </c>
      <c r="E177" s="26" t="str">
        <f>IF(ISBLANK(DATA2!E177),"",IF(ISBLANK(DATA!C177),DATA2!E177,"Flag override: " &amp; TEXT(DATA!C177, "mm/dd/yyyy hh:mm") ))</f>
        <v/>
      </c>
      <c r="F177" s="27" t="str">
        <f>IF(ISBLANK(DATA2!F177),"",IF(ISBLANK(DATA!D177),DATA2!F177,"Flag override " &amp; TEXT(DATA!D177, "mm/dd/yyyy hh:mm")))</f>
        <v/>
      </c>
      <c r="G177" s="27" t="str">
        <f>IF(DATA2!G177 = 0, "", IF(ISBLANK(DATA2!G177),"",IF(ISBLANK(DATA!E177),DATA2!G177,"Flag override " &amp; TEXT(DATA!E177,"mm/dd/yyyy hh:mm"))))</f>
        <v/>
      </c>
      <c r="H177" s="25" t="str">
        <f>IF(DATA!$G177&gt;0,TEXT(DATA!G177,"mm/dd/yyyy hh:mm"),"")</f>
        <v/>
      </c>
      <c r="I177" s="21"/>
    </row>
    <row r="178" spans="2:9" ht="23.25" x14ac:dyDescent="0.25">
      <c r="B178" s="25" t="str">
        <f t="shared" si="5"/>
        <v/>
      </c>
      <c r="C178" s="25" t="str">
        <f>IF(NOT(ISBLANK(DATA2!C178)),DATA2!C178,"")</f>
        <v/>
      </c>
      <c r="D178" s="25" t="str">
        <f>IF(NOT(ISBLANK(DATA2!D178)),DATA2!D178,"")</f>
        <v/>
      </c>
      <c r="E178" s="26" t="str">
        <f>IF(ISBLANK(DATA2!E178),"",IF(ISBLANK(DATA!C178),DATA2!E178,"Flag override: " &amp; TEXT(DATA!C178, "mm/dd/yyyy hh:mm") ))</f>
        <v/>
      </c>
      <c r="F178" s="27" t="str">
        <f>IF(ISBLANK(DATA2!F178),"",IF(ISBLANK(DATA!D178),DATA2!F178,"Flag override " &amp; TEXT(DATA!D178, "mm/dd/yyyy hh:mm")))</f>
        <v/>
      </c>
      <c r="G178" s="27" t="str">
        <f>IF(DATA2!G178 = 0, "", IF(ISBLANK(DATA2!G178),"",IF(ISBLANK(DATA!E178),DATA2!G178,"Flag override " &amp; TEXT(DATA!E178,"mm/dd/yyyy hh:mm"))))</f>
        <v/>
      </c>
      <c r="H178" s="25" t="str">
        <f>IF(DATA!$G178&gt;0,TEXT(DATA!G178,"mm/dd/yyyy hh:mm"),"")</f>
        <v/>
      </c>
      <c r="I178" s="21"/>
    </row>
    <row r="179" spans="2:9" ht="23.25" x14ac:dyDescent="0.25">
      <c r="B179" s="25" t="str">
        <f t="shared" si="5"/>
        <v/>
      </c>
      <c r="C179" s="25" t="str">
        <f>IF(NOT(ISBLANK(DATA2!C179)),DATA2!C179,"")</f>
        <v/>
      </c>
      <c r="D179" s="25" t="str">
        <f>IF(NOT(ISBLANK(DATA2!D179)),DATA2!D179,"")</f>
        <v/>
      </c>
      <c r="E179" s="26" t="str">
        <f>IF(ISBLANK(DATA2!E179),"",IF(ISBLANK(DATA!C179),DATA2!E179,"Flag override: " &amp; TEXT(DATA!C179, "mm/dd/yyyy hh:mm") ))</f>
        <v/>
      </c>
      <c r="F179" s="27" t="str">
        <f>IF(ISBLANK(DATA2!F179),"",IF(ISBLANK(DATA!D179),DATA2!F179,"Flag override " &amp; TEXT(DATA!D179, "mm/dd/yyyy hh:mm")))</f>
        <v/>
      </c>
      <c r="G179" s="27" t="str">
        <f>IF(DATA2!G179 = 0, "", IF(ISBLANK(DATA2!G179),"",IF(ISBLANK(DATA!E179),DATA2!G179,"Flag override " &amp; TEXT(DATA!E179,"mm/dd/yyyy hh:mm"))))</f>
        <v/>
      </c>
      <c r="H179" s="25" t="str">
        <f>IF(DATA!$G179&gt;0,TEXT(DATA!G179,"mm/dd/yyyy hh:mm"),"")</f>
        <v/>
      </c>
      <c r="I179" s="21"/>
    </row>
    <row r="180" spans="2:9" ht="23.25" x14ac:dyDescent="0.25">
      <c r="B180" s="25" t="str">
        <f t="shared" si="5"/>
        <v/>
      </c>
      <c r="C180" s="25" t="str">
        <f>IF(NOT(ISBLANK(DATA2!C180)),DATA2!C180,"")</f>
        <v/>
      </c>
      <c r="D180" s="25" t="str">
        <f>IF(NOT(ISBLANK(DATA2!D180)),DATA2!D180,"")</f>
        <v/>
      </c>
      <c r="E180" s="26" t="str">
        <f>IF(ISBLANK(DATA2!E180),"",IF(ISBLANK(DATA!C180),DATA2!E180,"Flag override: " &amp; TEXT(DATA!C180, "mm/dd/yyyy hh:mm") ))</f>
        <v/>
      </c>
      <c r="F180" s="27" t="str">
        <f>IF(ISBLANK(DATA2!F180),"",IF(ISBLANK(DATA!D180),DATA2!F180,"Flag override " &amp; TEXT(DATA!D180, "mm/dd/yyyy hh:mm")))</f>
        <v/>
      </c>
      <c r="G180" s="27" t="str">
        <f>IF(DATA2!G180 = 0, "", IF(ISBLANK(DATA2!G180),"",IF(ISBLANK(DATA!E180),DATA2!G180,"Flag override " &amp; TEXT(DATA!E180,"mm/dd/yyyy hh:mm"))))</f>
        <v/>
      </c>
      <c r="H180" s="25" t="str">
        <f>IF(DATA!$G180&gt;0,TEXT(DATA!G180,"mm/dd/yyyy hh:mm"),"")</f>
        <v/>
      </c>
      <c r="I180" s="21"/>
    </row>
    <row r="181" spans="2:9" ht="23.25" x14ac:dyDescent="0.25">
      <c r="B181" s="25" t="str">
        <f t="shared" si="5"/>
        <v/>
      </c>
      <c r="C181" s="25" t="str">
        <f>IF(NOT(ISBLANK(DATA2!C181)),DATA2!C181,"")</f>
        <v/>
      </c>
      <c r="D181" s="25" t="str">
        <f>IF(NOT(ISBLANK(DATA2!D181)),DATA2!D181,"")</f>
        <v/>
      </c>
      <c r="E181" s="26" t="str">
        <f>IF(ISBLANK(DATA2!E181),"",IF(ISBLANK(DATA!C181),DATA2!E181,"Flag override: " &amp; TEXT(DATA!C181, "mm/dd/yyyy hh:mm") ))</f>
        <v/>
      </c>
      <c r="F181" s="27" t="str">
        <f>IF(ISBLANK(DATA2!F181),"",IF(ISBLANK(DATA!D181),DATA2!F181,"Flag override " &amp; TEXT(DATA!D181, "mm/dd/yyyy hh:mm")))</f>
        <v/>
      </c>
      <c r="G181" s="27" t="str">
        <f>IF(DATA2!G181 = 0, "", IF(ISBLANK(DATA2!G181),"",IF(ISBLANK(DATA!E181),DATA2!G181,"Flag override " &amp; TEXT(DATA!E181,"mm/dd/yyyy hh:mm"))))</f>
        <v/>
      </c>
      <c r="H181" s="25" t="str">
        <f>IF(DATA!$G181&gt;0,TEXT(DATA!G181,"mm/dd/yyyy hh:mm"),"")</f>
        <v/>
      </c>
      <c r="I181" s="21"/>
    </row>
    <row r="182" spans="2:9" ht="23.25" x14ac:dyDescent="0.25">
      <c r="B182" s="25" t="str">
        <f t="shared" si="5"/>
        <v/>
      </c>
      <c r="C182" s="25" t="str">
        <f>IF(NOT(ISBLANK(DATA2!C182)),DATA2!C182,"")</f>
        <v/>
      </c>
      <c r="D182" s="25" t="str">
        <f>IF(NOT(ISBLANK(DATA2!D182)),DATA2!D182,"")</f>
        <v/>
      </c>
      <c r="E182" s="26" t="str">
        <f>IF(ISBLANK(DATA2!E182),"",IF(ISBLANK(DATA!C182),DATA2!E182,"Flag override: " &amp; TEXT(DATA!C182, "mm/dd/yyyy hh:mm") ))</f>
        <v/>
      </c>
      <c r="F182" s="27" t="str">
        <f>IF(ISBLANK(DATA2!F182),"",IF(ISBLANK(DATA!D182),DATA2!F182,"Flag override " &amp; TEXT(DATA!D182, "mm/dd/yyyy hh:mm")))</f>
        <v/>
      </c>
      <c r="G182" s="27" t="str">
        <f>IF(DATA2!G182 = 0, "", IF(ISBLANK(DATA2!G182),"",IF(ISBLANK(DATA!E182),DATA2!G182,"Flag override " &amp; TEXT(DATA!E182,"mm/dd/yyyy hh:mm"))))</f>
        <v/>
      </c>
      <c r="H182" s="25" t="str">
        <f>IF(DATA!$G182&gt;0,TEXT(DATA!G182,"mm/dd/yyyy hh:mm"),"")</f>
        <v/>
      </c>
      <c r="I182" s="21"/>
    </row>
    <row r="183" spans="2:9" ht="23.25" x14ac:dyDescent="0.25">
      <c r="B183" s="25" t="str">
        <f t="shared" si="5"/>
        <v/>
      </c>
      <c r="C183" s="25" t="str">
        <f>IF(NOT(ISBLANK(DATA2!C183)),DATA2!C183,"")</f>
        <v/>
      </c>
      <c r="D183" s="25" t="str">
        <f>IF(NOT(ISBLANK(DATA2!D183)),DATA2!D183,"")</f>
        <v/>
      </c>
      <c r="E183" s="26" t="str">
        <f>IF(ISBLANK(DATA2!E183),"",IF(ISBLANK(DATA!C183),DATA2!E183,"Flag override: " &amp; TEXT(DATA!C183, "mm/dd/yyyy hh:mm") ))</f>
        <v/>
      </c>
      <c r="F183" s="27" t="str">
        <f>IF(ISBLANK(DATA2!F183),"",IF(ISBLANK(DATA!D183),DATA2!F183,"Flag override " &amp; TEXT(DATA!D183, "mm/dd/yyyy hh:mm")))</f>
        <v/>
      </c>
      <c r="G183" s="27" t="str">
        <f>IF(DATA2!G183 = 0, "", IF(ISBLANK(DATA2!G183),"",IF(ISBLANK(DATA!E183),DATA2!G183,"Flag override " &amp; TEXT(DATA!E183,"mm/dd/yyyy hh:mm"))))</f>
        <v/>
      </c>
      <c r="H183" s="25" t="str">
        <f>IF(DATA!$G183&gt;0,TEXT(DATA!G183,"mm/dd/yyyy hh:mm"),"")</f>
        <v/>
      </c>
      <c r="I183" s="21"/>
    </row>
    <row r="184" spans="2:9" ht="23.25" x14ac:dyDescent="0.25">
      <c r="B184" s="25" t="str">
        <f t="shared" si="5"/>
        <v/>
      </c>
      <c r="C184" s="25" t="str">
        <f>IF(NOT(ISBLANK(DATA2!C184)),DATA2!C184,"")</f>
        <v/>
      </c>
      <c r="D184" s="25" t="str">
        <f>IF(NOT(ISBLANK(DATA2!D184)),DATA2!D184,"")</f>
        <v/>
      </c>
      <c r="E184" s="26" t="str">
        <f>IF(ISBLANK(DATA2!E184),"",IF(ISBLANK(DATA!C184),DATA2!E184,"Flag override: " &amp; TEXT(DATA!C184, "mm/dd/yyyy hh:mm") ))</f>
        <v/>
      </c>
      <c r="F184" s="27" t="str">
        <f>IF(ISBLANK(DATA2!F184),"",IF(ISBLANK(DATA!D184),DATA2!F184,"Flag override " &amp; TEXT(DATA!D184, "mm/dd/yyyy hh:mm")))</f>
        <v/>
      </c>
      <c r="G184" s="27" t="str">
        <f>IF(DATA2!G184 = 0, "", IF(ISBLANK(DATA2!G184),"",IF(ISBLANK(DATA!E184),DATA2!G184,"Flag override " &amp; TEXT(DATA!E184,"mm/dd/yyyy hh:mm"))))</f>
        <v/>
      </c>
      <c r="H184" s="25" t="str">
        <f>IF(DATA!$G184&gt;0,TEXT(DATA!G184,"mm/dd/yyyy hh:mm"),"")</f>
        <v/>
      </c>
      <c r="I184" s="21"/>
    </row>
    <row r="185" spans="2:9" ht="23.25" x14ac:dyDescent="0.25">
      <c r="B185" s="25" t="str">
        <f t="shared" si="5"/>
        <v/>
      </c>
      <c r="C185" s="25" t="str">
        <f>IF(NOT(ISBLANK(DATA2!C185)),DATA2!C185,"")</f>
        <v/>
      </c>
      <c r="D185" s="25" t="str">
        <f>IF(NOT(ISBLANK(DATA2!D185)),DATA2!D185,"")</f>
        <v/>
      </c>
      <c r="E185" s="26" t="str">
        <f>IF(ISBLANK(DATA2!E185),"",IF(ISBLANK(DATA!C185),DATA2!E185,"Flag override: " &amp; TEXT(DATA!C185, "mm/dd/yyyy hh:mm") ))</f>
        <v/>
      </c>
      <c r="F185" s="27" t="str">
        <f>IF(ISBLANK(DATA2!F185),"",IF(ISBLANK(DATA!D185),DATA2!F185,"Flag override " &amp; TEXT(DATA!D185, "mm/dd/yyyy hh:mm")))</f>
        <v/>
      </c>
      <c r="G185" s="27" t="str">
        <f>IF(DATA2!G185 = 0, "", IF(ISBLANK(DATA2!G185),"",IF(ISBLANK(DATA!E185),DATA2!G185,"Flag override " &amp; TEXT(DATA!E185,"mm/dd/yyyy hh:mm"))))</f>
        <v/>
      </c>
      <c r="H185" s="25" t="str">
        <f>IF(DATA!$G185&gt;0,TEXT(DATA!G185,"mm/dd/yyyy hh:mm"),"")</f>
        <v/>
      </c>
      <c r="I185" s="21"/>
    </row>
    <row r="186" spans="2:9" ht="23.25" x14ac:dyDescent="0.25">
      <c r="B186" s="25" t="str">
        <f t="shared" si="5"/>
        <v/>
      </c>
      <c r="C186" s="25" t="str">
        <f>IF(NOT(ISBLANK(DATA2!C186)),DATA2!C186,"")</f>
        <v/>
      </c>
      <c r="D186" s="25" t="str">
        <f>IF(NOT(ISBLANK(DATA2!D186)),DATA2!D186,"")</f>
        <v/>
      </c>
      <c r="E186" s="26" t="str">
        <f>IF(ISBLANK(DATA2!E186),"",IF(ISBLANK(DATA!C186),DATA2!E186,"Flag override: " &amp; TEXT(DATA!C186, "mm/dd/yyyy hh:mm") ))</f>
        <v/>
      </c>
      <c r="F186" s="27" t="str">
        <f>IF(ISBLANK(DATA2!F186),"",IF(ISBLANK(DATA!D186),DATA2!F186,"Flag override " &amp; TEXT(DATA!D186, "mm/dd/yyyy hh:mm")))</f>
        <v/>
      </c>
      <c r="G186" s="27" t="str">
        <f>IF(DATA2!G186 = 0, "", IF(ISBLANK(DATA2!G186),"",IF(ISBLANK(DATA!E186),DATA2!G186,"Flag override " &amp; TEXT(DATA!E186,"mm/dd/yyyy hh:mm"))))</f>
        <v/>
      </c>
      <c r="H186" s="25" t="str">
        <f>IF(DATA!$G186&gt;0,TEXT(DATA!G186,"mm/dd/yyyy hh:mm"),"")</f>
        <v/>
      </c>
      <c r="I186" s="21"/>
    </row>
    <row r="187" spans="2:9" ht="23.25" x14ac:dyDescent="0.25">
      <c r="B187" s="25" t="str">
        <f t="shared" si="5"/>
        <v/>
      </c>
      <c r="C187" s="25" t="str">
        <f>IF(NOT(ISBLANK(DATA2!C187)),DATA2!C187,"")</f>
        <v/>
      </c>
      <c r="D187" s="25" t="str">
        <f>IF(NOT(ISBLANK(DATA2!D187)),DATA2!D187,"")</f>
        <v/>
      </c>
      <c r="E187" s="26" t="str">
        <f>IF(ISBLANK(DATA2!E187),"",IF(ISBLANK(DATA!C187),DATA2!E187,"Flag override: " &amp; TEXT(DATA!C187, "mm/dd/yyyy hh:mm") ))</f>
        <v/>
      </c>
      <c r="F187" s="27" t="str">
        <f>IF(ISBLANK(DATA2!F187),"",IF(ISBLANK(DATA!D187),DATA2!F187,"Flag override " &amp; TEXT(DATA!D187, "mm/dd/yyyy hh:mm")))</f>
        <v/>
      </c>
      <c r="G187" s="27" t="str">
        <f>IF(DATA2!G187 = 0, "", IF(ISBLANK(DATA2!G187),"",IF(ISBLANK(DATA!E187),DATA2!G187,"Flag override " &amp; TEXT(DATA!E187,"mm/dd/yyyy hh:mm"))))</f>
        <v/>
      </c>
      <c r="H187" s="25" t="str">
        <f>IF(DATA!$G187&gt;0,TEXT(DATA!G187,"mm/dd/yyyy hh:mm"),"")</f>
        <v/>
      </c>
      <c r="I187" s="21"/>
    </row>
    <row r="188" spans="2:9" ht="23.25" x14ac:dyDescent="0.25">
      <c r="B188" s="25" t="str">
        <f t="shared" si="5"/>
        <v/>
      </c>
      <c r="C188" s="25" t="str">
        <f>IF(NOT(ISBLANK(DATA2!C188)),DATA2!C188,"")</f>
        <v/>
      </c>
      <c r="D188" s="25" t="str">
        <f>IF(NOT(ISBLANK(DATA2!D188)),DATA2!D188,"")</f>
        <v/>
      </c>
      <c r="E188" s="26" t="str">
        <f>IF(ISBLANK(DATA2!E188),"",IF(ISBLANK(DATA!C188),DATA2!E188,"Flag override: " &amp; TEXT(DATA!C188, "mm/dd/yyyy hh:mm") ))</f>
        <v/>
      </c>
      <c r="F188" s="27" t="str">
        <f>IF(ISBLANK(DATA2!F188),"",IF(ISBLANK(DATA!D188),DATA2!F188,"Flag override " &amp; TEXT(DATA!D188, "mm/dd/yyyy hh:mm")))</f>
        <v/>
      </c>
      <c r="G188" s="27" t="str">
        <f>IF(DATA2!G188 = 0, "", IF(ISBLANK(DATA2!G188),"",IF(ISBLANK(DATA!E188),DATA2!G188,"Flag override " &amp; TEXT(DATA!E188,"mm/dd/yyyy hh:mm"))))</f>
        <v/>
      </c>
      <c r="H188" s="25" t="str">
        <f>IF(DATA!$G188&gt;0,TEXT(DATA!G188,"mm/dd/yyyy hh:mm"),"")</f>
        <v/>
      </c>
      <c r="I188" s="21"/>
    </row>
    <row r="189" spans="2:9" ht="23.25" x14ac:dyDescent="0.25">
      <c r="B189" s="25" t="str">
        <f t="shared" si="5"/>
        <v/>
      </c>
      <c r="C189" s="25" t="str">
        <f>IF(NOT(ISBLANK(DATA2!C189)),DATA2!C189,"")</f>
        <v/>
      </c>
      <c r="D189" s="25" t="str">
        <f>IF(NOT(ISBLANK(DATA2!D189)),DATA2!D189,"")</f>
        <v/>
      </c>
      <c r="E189" s="26" t="str">
        <f>IF(ISBLANK(DATA2!E189),"",IF(ISBLANK(DATA!C189),DATA2!E189,"Flag override: " &amp; TEXT(DATA!C189, "mm/dd/yyyy hh:mm") ))</f>
        <v/>
      </c>
      <c r="F189" s="27" t="str">
        <f>IF(ISBLANK(DATA2!F189),"",IF(ISBLANK(DATA!D189),DATA2!F189,"Flag override " &amp; TEXT(DATA!D189, "mm/dd/yyyy hh:mm")))</f>
        <v/>
      </c>
      <c r="G189" s="27" t="str">
        <f>IF(DATA2!G189 = 0, "", IF(ISBLANK(DATA2!G189),"",IF(ISBLANK(DATA!E189),DATA2!G189,"Flag override " &amp; TEXT(DATA!E189,"mm/dd/yyyy hh:mm"))))</f>
        <v/>
      </c>
      <c r="H189" s="25" t="str">
        <f>IF(DATA!$G189&gt;0,TEXT(DATA!G189,"mm/dd/yyyy hh:mm"),"")</f>
        <v/>
      </c>
      <c r="I189" s="21"/>
    </row>
    <row r="190" spans="2:9" ht="23.25" x14ac:dyDescent="0.25">
      <c r="B190" s="25" t="str">
        <f t="shared" si="5"/>
        <v/>
      </c>
      <c r="C190" s="25" t="str">
        <f>IF(NOT(ISBLANK(DATA2!C190)),DATA2!C190,"")</f>
        <v/>
      </c>
      <c r="D190" s="25" t="str">
        <f>IF(NOT(ISBLANK(DATA2!D190)),DATA2!D190,"")</f>
        <v/>
      </c>
      <c r="E190" s="26" t="str">
        <f>IF(ISBLANK(DATA2!E190),"",IF(ISBLANK(DATA!C190),DATA2!E190,"Flag override: " &amp; TEXT(DATA!C190, "mm/dd/yyyy hh:mm") ))</f>
        <v/>
      </c>
      <c r="F190" s="27" t="str">
        <f>IF(ISBLANK(DATA2!F190),"",IF(ISBLANK(DATA!D190),DATA2!F190,"Flag override " &amp; TEXT(DATA!D190, "mm/dd/yyyy hh:mm")))</f>
        <v/>
      </c>
      <c r="G190" s="27" t="str">
        <f>IF(DATA2!G190 = 0, "", IF(ISBLANK(DATA2!G190),"",IF(ISBLANK(DATA!E190),DATA2!G190,"Flag override " &amp; TEXT(DATA!E190,"mm/dd/yyyy hh:mm"))))</f>
        <v/>
      </c>
      <c r="H190" s="25" t="str">
        <f>IF(DATA!$G190&gt;0,TEXT(DATA!G190,"mm/dd/yyyy hh:mm"),"")</f>
        <v/>
      </c>
      <c r="I190" s="21"/>
    </row>
    <row r="191" spans="2:9" ht="23.25" x14ac:dyDescent="0.25">
      <c r="B191" s="25" t="str">
        <f t="shared" si="5"/>
        <v/>
      </c>
      <c r="C191" s="25" t="str">
        <f>IF(NOT(ISBLANK(DATA2!C191)),DATA2!C191,"")</f>
        <v/>
      </c>
      <c r="D191" s="25" t="str">
        <f>IF(NOT(ISBLANK(DATA2!D191)),DATA2!D191,"")</f>
        <v/>
      </c>
      <c r="E191" s="26" t="str">
        <f>IF(ISBLANK(DATA2!E191),"",IF(ISBLANK(DATA!C191),DATA2!E191,"Flag override: " &amp; TEXT(DATA!C191, "mm/dd/yyyy hh:mm") ))</f>
        <v/>
      </c>
      <c r="F191" s="27" t="str">
        <f>IF(ISBLANK(DATA2!F191),"",IF(ISBLANK(DATA!D191),DATA2!F191,"Flag override " &amp; TEXT(DATA!D191, "mm/dd/yyyy hh:mm")))</f>
        <v/>
      </c>
      <c r="G191" s="27" t="str">
        <f>IF(DATA2!G191 = 0, "", IF(ISBLANK(DATA2!G191),"",IF(ISBLANK(DATA!E191),DATA2!G191,"Flag override " &amp; TEXT(DATA!E191,"mm/dd/yyyy hh:mm"))))</f>
        <v/>
      </c>
      <c r="H191" s="25" t="str">
        <f>IF(DATA!$G191&gt;0,TEXT(DATA!G191,"mm/dd/yyyy hh:mm"),"")</f>
        <v/>
      </c>
      <c r="I191" s="21"/>
    </row>
    <row r="192" spans="2:9" ht="23.25" x14ac:dyDescent="0.25">
      <c r="B192" s="25" t="str">
        <f t="shared" si="5"/>
        <v/>
      </c>
      <c r="C192" s="25" t="str">
        <f>IF(NOT(ISBLANK(DATA2!C192)),DATA2!C192,"")</f>
        <v/>
      </c>
      <c r="D192" s="25" t="str">
        <f>IF(NOT(ISBLANK(DATA2!D192)),DATA2!D192,"")</f>
        <v/>
      </c>
      <c r="E192" s="26" t="str">
        <f>IF(ISBLANK(DATA2!E192),"",IF(ISBLANK(DATA!C192),DATA2!E192,"Flag override: " &amp; TEXT(DATA!C192, "mm/dd/yyyy hh:mm") ))</f>
        <v/>
      </c>
      <c r="F192" s="27" t="str">
        <f>IF(ISBLANK(DATA2!F192),"",IF(ISBLANK(DATA!D192),DATA2!F192,"Flag override " &amp; TEXT(DATA!D192, "mm/dd/yyyy hh:mm")))</f>
        <v/>
      </c>
      <c r="G192" s="27" t="str">
        <f>IF(DATA2!G192 = 0, "", IF(ISBLANK(DATA2!G192),"",IF(ISBLANK(DATA!E192),DATA2!G192,"Flag override " &amp; TEXT(DATA!E192,"mm/dd/yyyy hh:mm"))))</f>
        <v/>
      </c>
      <c r="H192" s="25" t="str">
        <f>IF(DATA!$G192&gt;0,TEXT(DATA!G192,"mm/dd/yyyy hh:mm"),"")</f>
        <v/>
      </c>
      <c r="I192" s="21"/>
    </row>
    <row r="193" spans="2:9" ht="23.25" x14ac:dyDescent="0.25">
      <c r="B193" s="25" t="str">
        <f t="shared" si="5"/>
        <v/>
      </c>
      <c r="C193" s="25" t="str">
        <f>IF(NOT(ISBLANK(DATA2!C193)),DATA2!C193,"")</f>
        <v/>
      </c>
      <c r="D193" s="25" t="str">
        <f>IF(NOT(ISBLANK(DATA2!D193)),DATA2!D193,"")</f>
        <v/>
      </c>
      <c r="E193" s="26" t="str">
        <f>IF(ISBLANK(DATA2!E193),"",IF(ISBLANK(DATA!C193),DATA2!E193,"Flag override: " &amp; TEXT(DATA!C193, "mm/dd/yyyy hh:mm") ))</f>
        <v/>
      </c>
      <c r="F193" s="27" t="str">
        <f>IF(ISBLANK(DATA2!F193),"",IF(ISBLANK(DATA!D193),DATA2!F193,"Flag override " &amp; TEXT(DATA!D193, "mm/dd/yyyy hh:mm")))</f>
        <v/>
      </c>
      <c r="G193" s="27" t="str">
        <f>IF(DATA2!G193 = 0, "", IF(ISBLANK(DATA2!G193),"",IF(ISBLANK(DATA!E193),DATA2!G193,"Flag override " &amp; TEXT(DATA!E193,"mm/dd/yyyy hh:mm"))))</f>
        <v/>
      </c>
      <c r="H193" s="25" t="str">
        <f>IF(DATA!$G193&gt;0,TEXT(DATA!G193,"mm/dd/yyyy hh:mm"),"")</f>
        <v/>
      </c>
      <c r="I193" s="21"/>
    </row>
    <row r="194" spans="2:9" ht="23.25" x14ac:dyDescent="0.25">
      <c r="B194" s="25" t="str">
        <f t="shared" si="5"/>
        <v/>
      </c>
      <c r="C194" s="25" t="str">
        <f>IF(NOT(ISBLANK(DATA2!C194)),DATA2!C194,"")</f>
        <v/>
      </c>
      <c r="D194" s="25" t="str">
        <f>IF(NOT(ISBLANK(DATA2!D194)),DATA2!D194,"")</f>
        <v/>
      </c>
      <c r="E194" s="26" t="str">
        <f>IF(ISBLANK(DATA2!E194),"",IF(ISBLANK(DATA!C194),DATA2!E194,"Flag override: " &amp; TEXT(DATA!C194, "mm/dd/yyyy hh:mm") ))</f>
        <v/>
      </c>
      <c r="F194" s="27" t="str">
        <f>IF(ISBLANK(DATA2!F194),"",IF(ISBLANK(DATA!D194),DATA2!F194,"Flag override " &amp; TEXT(DATA!D194, "mm/dd/yyyy hh:mm")))</f>
        <v/>
      </c>
      <c r="G194" s="27" t="str">
        <f>IF(DATA2!G194 = 0, "", IF(ISBLANK(DATA2!G194),"",IF(ISBLANK(DATA!E194),DATA2!G194,"Flag override " &amp; TEXT(DATA!E194,"mm/dd/yyyy hh:mm"))))</f>
        <v/>
      </c>
      <c r="H194" s="25" t="str">
        <f>IF(DATA!$G194&gt;0,TEXT(DATA!G194,"mm/dd/yyyy hh:mm"),"")</f>
        <v/>
      </c>
      <c r="I194" s="21"/>
    </row>
    <row r="195" spans="2:9" ht="23.25" x14ac:dyDescent="0.25">
      <c r="B195" s="25" t="str">
        <f t="shared" si="5"/>
        <v/>
      </c>
      <c r="C195" s="25" t="str">
        <f>IF(NOT(ISBLANK(DATA2!C195)),DATA2!C195,"")</f>
        <v/>
      </c>
      <c r="D195" s="25" t="str">
        <f>IF(NOT(ISBLANK(DATA2!D195)),DATA2!D195,"")</f>
        <v/>
      </c>
      <c r="E195" s="26" t="str">
        <f>IF(ISBLANK(DATA2!E195),"",IF(ISBLANK(DATA!C195),DATA2!E195,"Flag override: " &amp; TEXT(DATA!C195, "mm/dd/yyyy hh:mm") ))</f>
        <v/>
      </c>
      <c r="F195" s="27" t="str">
        <f>IF(ISBLANK(DATA2!F195),"",IF(ISBLANK(DATA!D195),DATA2!F195,"Flag override " &amp; TEXT(DATA!D195, "mm/dd/yyyy hh:mm")))</f>
        <v/>
      </c>
      <c r="G195" s="27" t="str">
        <f>IF(DATA2!G195 = 0, "", IF(ISBLANK(DATA2!G195),"",IF(ISBLANK(DATA!E195),DATA2!G195,"Flag override " &amp; TEXT(DATA!E195,"mm/dd/yyyy hh:mm"))))</f>
        <v/>
      </c>
      <c r="H195" s="25" t="str">
        <f>IF(DATA!$G195&gt;0,TEXT(DATA!G195,"mm/dd/yyyy hh:mm"),"")</f>
        <v/>
      </c>
      <c r="I195" s="21"/>
    </row>
    <row r="196" spans="2:9" ht="23.25" x14ac:dyDescent="0.25">
      <c r="B196" s="25" t="str">
        <f t="shared" si="5"/>
        <v/>
      </c>
      <c r="C196" s="25" t="str">
        <f>IF(NOT(ISBLANK(DATA2!C196)),DATA2!C196,"")</f>
        <v/>
      </c>
      <c r="D196" s="25" t="str">
        <f>IF(NOT(ISBLANK(DATA2!D196)),DATA2!D196,"")</f>
        <v/>
      </c>
      <c r="E196" s="26" t="str">
        <f>IF(ISBLANK(DATA2!E196),"",IF(ISBLANK(DATA!C196),DATA2!E196,"Flag override: " &amp; TEXT(DATA!C196, "mm/dd/yyyy hh:mm") ))</f>
        <v/>
      </c>
      <c r="F196" s="27" t="str">
        <f>IF(ISBLANK(DATA2!F196),"",IF(ISBLANK(DATA!D196),DATA2!F196,"Flag override " &amp; TEXT(DATA!D196, "mm/dd/yyyy hh:mm")))</f>
        <v/>
      </c>
      <c r="G196" s="27" t="str">
        <f>IF(DATA2!G196 = 0, "", IF(ISBLANK(DATA2!G196),"",IF(ISBLANK(DATA!E196),DATA2!G196,"Flag override " &amp; TEXT(DATA!E196,"mm/dd/yyyy hh:mm"))))</f>
        <v/>
      </c>
      <c r="H196" s="25" t="str">
        <f>IF(DATA!$G196&gt;0,TEXT(DATA!G196,"mm/dd/yyyy hh:mm"),"")</f>
        <v/>
      </c>
      <c r="I196" s="21"/>
    </row>
    <row r="197" spans="2:9" ht="23.25" x14ac:dyDescent="0.25">
      <c r="B197" s="25" t="str">
        <f t="shared" si="5"/>
        <v/>
      </c>
      <c r="C197" s="25" t="str">
        <f>IF(NOT(ISBLANK(DATA2!C197)),DATA2!C197,"")</f>
        <v/>
      </c>
      <c r="D197" s="25" t="str">
        <f>IF(NOT(ISBLANK(DATA2!D197)),DATA2!D197,"")</f>
        <v/>
      </c>
      <c r="E197" s="26" t="str">
        <f>IF(ISBLANK(DATA2!E197),"",IF(ISBLANK(DATA!C197),DATA2!E197,"Flag override: " &amp; TEXT(DATA!C197, "mm/dd/yyyy hh:mm") ))</f>
        <v/>
      </c>
      <c r="F197" s="27" t="str">
        <f>IF(ISBLANK(DATA2!F197),"",IF(ISBLANK(DATA!D197),DATA2!F197,"Flag override " &amp; TEXT(DATA!D197, "mm/dd/yyyy hh:mm")))</f>
        <v/>
      </c>
      <c r="G197" s="27" t="str">
        <f>IF(DATA2!G197 = 0, "", IF(ISBLANK(DATA2!G197),"",IF(ISBLANK(DATA!E197),DATA2!G197,"Flag override " &amp; TEXT(DATA!E197,"mm/dd/yyyy hh:mm"))))</f>
        <v/>
      </c>
      <c r="H197" s="25" t="str">
        <f>IF(DATA!$G197&gt;0,TEXT(DATA!G197,"mm/dd/yyyy hh:mm"),"")</f>
        <v/>
      </c>
      <c r="I197" s="21"/>
    </row>
    <row r="198" spans="2:9" ht="23.25" x14ac:dyDescent="0.25">
      <c r="B198" s="25" t="str">
        <f t="shared" si="5"/>
        <v/>
      </c>
      <c r="C198" s="25" t="str">
        <f>IF(NOT(ISBLANK(DATA2!C198)),DATA2!C198,"")</f>
        <v/>
      </c>
      <c r="D198" s="25" t="str">
        <f>IF(NOT(ISBLANK(DATA2!D198)),DATA2!D198,"")</f>
        <v/>
      </c>
      <c r="E198" s="26" t="str">
        <f>IF(ISBLANK(DATA2!E198),"",IF(ISBLANK(DATA!C198),DATA2!E198,"Flag override: " &amp; TEXT(DATA!C198, "mm/dd/yyyy hh:mm") ))</f>
        <v/>
      </c>
      <c r="F198" s="27" t="str">
        <f>IF(ISBLANK(DATA2!F198),"",IF(ISBLANK(DATA!D198),DATA2!F198,"Flag override " &amp; TEXT(DATA!D198, "mm/dd/yyyy hh:mm")))</f>
        <v/>
      </c>
      <c r="G198" s="27" t="str">
        <f>IF(DATA2!G198 = 0, "", IF(ISBLANK(DATA2!G198),"",IF(ISBLANK(DATA!E198),DATA2!G198,"Flag override " &amp; TEXT(DATA!E198,"mm/dd/yyyy hh:mm"))))</f>
        <v/>
      </c>
      <c r="H198" s="25" t="str">
        <f>IF(DATA!$G198&gt;0,TEXT(DATA!G198,"mm/dd/yyyy hh:mm"),"")</f>
        <v/>
      </c>
      <c r="I198" s="21"/>
    </row>
    <row r="199" spans="2:9" ht="23.25" x14ac:dyDescent="0.25">
      <c r="B199" s="25" t="str">
        <f t="shared" si="5"/>
        <v/>
      </c>
      <c r="C199" s="25" t="str">
        <f>IF(NOT(ISBLANK(DATA2!C199)),DATA2!C199,"")</f>
        <v/>
      </c>
      <c r="D199" s="25" t="str">
        <f>IF(NOT(ISBLANK(DATA2!D199)),DATA2!D199,"")</f>
        <v/>
      </c>
      <c r="E199" s="26" t="str">
        <f>IF(ISBLANK(DATA2!E199),"",IF(ISBLANK(DATA!C199),DATA2!E199,"Flag override: " &amp; TEXT(DATA!C199, "mm/dd/yyyy hh:mm") ))</f>
        <v/>
      </c>
      <c r="F199" s="27" t="str">
        <f>IF(ISBLANK(DATA2!F199),"",IF(ISBLANK(DATA!D199),DATA2!F199,"Flag override " &amp; TEXT(DATA!D199, "mm/dd/yyyy hh:mm")))</f>
        <v/>
      </c>
      <c r="G199" s="27" t="str">
        <f>IF(DATA2!G199 = 0, "", IF(ISBLANK(DATA2!G199),"",IF(ISBLANK(DATA!E199),DATA2!G199,"Flag override " &amp; TEXT(DATA!E199,"mm/dd/yyyy hh:mm"))))</f>
        <v/>
      </c>
      <c r="H199" s="25" t="str">
        <f>IF(DATA!$G199&gt;0,TEXT(DATA!G199,"mm/dd/yyyy hh:mm"),"")</f>
        <v/>
      </c>
      <c r="I199" s="21"/>
    </row>
    <row r="200" spans="2:9" ht="23.25" x14ac:dyDescent="0.25">
      <c r="B200" s="25" t="str">
        <f t="shared" si="5"/>
        <v/>
      </c>
      <c r="C200" s="25" t="str">
        <f>IF(NOT(ISBLANK(DATA2!C200)),DATA2!C200,"")</f>
        <v/>
      </c>
      <c r="D200" s="25" t="str">
        <f>IF(NOT(ISBLANK(DATA2!D200)),DATA2!D200,"")</f>
        <v/>
      </c>
      <c r="E200" s="26" t="str">
        <f>IF(ISBLANK(DATA2!E200),"",IF(ISBLANK(DATA!C200),DATA2!E200,"Flag override: " &amp; TEXT(DATA!C200, "mm/dd/yyyy hh:mm") ))</f>
        <v/>
      </c>
      <c r="F200" s="27" t="str">
        <f>IF(ISBLANK(DATA2!F200),"",IF(ISBLANK(DATA!D200),DATA2!F200,"Flag override " &amp; TEXT(DATA!D200, "mm/dd/yyyy hh:mm")))</f>
        <v/>
      </c>
      <c r="G200" s="27" t="str">
        <f>IF(DATA2!G200 = 0, "", IF(ISBLANK(DATA2!G200),"",IF(ISBLANK(DATA!E200),DATA2!G200,"Flag override " &amp; TEXT(DATA!E200,"mm/dd/yyyy hh:mm"))))</f>
        <v/>
      </c>
      <c r="H200" s="25" t="str">
        <f>IF(DATA!$G200&gt;0,TEXT(DATA!G200,"mm/dd/yyyy hh:mm"),"")</f>
        <v/>
      </c>
      <c r="I200" s="21"/>
    </row>
    <row r="201" spans="2:9" ht="23.25" x14ac:dyDescent="0.25">
      <c r="B201" s="25" t="str">
        <f t="shared" ref="B201:B264" si="6">IF(LEN(C201)&lt;1,"",IF(NOT(_xlfn.ISFORMULA(B200)),1,B200+1))</f>
        <v/>
      </c>
      <c r="C201" s="25" t="str">
        <f>IF(NOT(ISBLANK(DATA2!C201)),DATA2!C201,"")</f>
        <v/>
      </c>
      <c r="D201" s="25" t="str">
        <f>IF(NOT(ISBLANK(DATA2!D201)),DATA2!D201,"")</f>
        <v/>
      </c>
      <c r="E201" s="26" t="str">
        <f>IF(ISBLANK(DATA2!E201),"",IF(ISBLANK(DATA!C201),DATA2!E201,"Flag override: " &amp; TEXT(DATA!C201, "mm/dd/yyyy hh:mm") ))</f>
        <v/>
      </c>
      <c r="F201" s="27" t="str">
        <f>IF(ISBLANK(DATA2!F201),"",IF(ISBLANK(DATA!D201),DATA2!F201,"Flag override " &amp; TEXT(DATA!D201, "mm/dd/yyyy hh:mm")))</f>
        <v/>
      </c>
      <c r="G201" s="27" t="str">
        <f>IF(DATA2!G201 = 0, "", IF(ISBLANK(DATA2!G201),"",IF(ISBLANK(DATA!E201),DATA2!G201,"Flag override " &amp; TEXT(DATA!E201,"mm/dd/yyyy hh:mm"))))</f>
        <v/>
      </c>
      <c r="H201" s="25" t="str">
        <f>IF(DATA!$G201&gt;0,TEXT(DATA!G201,"mm/dd/yyyy hh:mm"),"")</f>
        <v/>
      </c>
      <c r="I201" s="21"/>
    </row>
    <row r="202" spans="2:9" ht="23.25" x14ac:dyDescent="0.25">
      <c r="B202" s="25" t="str">
        <f t="shared" si="6"/>
        <v/>
      </c>
      <c r="C202" s="25" t="str">
        <f>IF(NOT(ISBLANK(DATA2!C202)),DATA2!C202,"")</f>
        <v/>
      </c>
      <c r="D202" s="25" t="str">
        <f>IF(NOT(ISBLANK(DATA2!D202)),DATA2!D202,"")</f>
        <v/>
      </c>
      <c r="E202" s="26" t="str">
        <f>IF(ISBLANK(DATA2!E202),"",IF(ISBLANK(DATA!C202),DATA2!E202,"Flag override: " &amp; TEXT(DATA!C202, "mm/dd/yyyy hh:mm") ))</f>
        <v/>
      </c>
      <c r="F202" s="27" t="str">
        <f>IF(ISBLANK(DATA2!F202),"",IF(ISBLANK(DATA!D202),DATA2!F202,"Flag override " &amp; TEXT(DATA!D202, "mm/dd/yyyy hh:mm")))</f>
        <v/>
      </c>
      <c r="G202" s="27" t="str">
        <f>IF(DATA2!G202 = 0, "", IF(ISBLANK(DATA2!G202),"",IF(ISBLANK(DATA!E202),DATA2!G202,"Flag override " &amp; TEXT(DATA!E202,"mm/dd/yyyy hh:mm"))))</f>
        <v/>
      </c>
      <c r="H202" s="25" t="str">
        <f>IF(DATA!$G202&gt;0,TEXT(DATA!G202,"mm/dd/yyyy hh:mm"),"")</f>
        <v/>
      </c>
      <c r="I202" s="21"/>
    </row>
    <row r="203" spans="2:9" ht="23.25" x14ac:dyDescent="0.25">
      <c r="B203" s="25" t="str">
        <f t="shared" si="6"/>
        <v/>
      </c>
      <c r="C203" s="25" t="str">
        <f>IF(NOT(ISBLANK(DATA2!C203)),DATA2!C203,"")</f>
        <v/>
      </c>
      <c r="D203" s="25" t="str">
        <f>IF(NOT(ISBLANK(DATA2!D203)),DATA2!D203,"")</f>
        <v/>
      </c>
      <c r="E203" s="26" t="str">
        <f>IF(ISBLANK(DATA2!E203),"",IF(ISBLANK(DATA!C203),DATA2!E203,"Flag override: " &amp; TEXT(DATA!C203, "mm/dd/yyyy hh:mm") ))</f>
        <v/>
      </c>
      <c r="F203" s="27" t="str">
        <f>IF(ISBLANK(DATA2!F203),"",IF(ISBLANK(DATA!D203),DATA2!F203,"Flag override " &amp; TEXT(DATA!D203, "mm/dd/yyyy hh:mm")))</f>
        <v/>
      </c>
      <c r="G203" s="27" t="str">
        <f>IF(DATA2!G203 = 0, "", IF(ISBLANK(DATA2!G203),"",IF(ISBLANK(DATA!E203),DATA2!G203,"Flag override " &amp; TEXT(DATA!E203,"mm/dd/yyyy hh:mm"))))</f>
        <v/>
      </c>
      <c r="H203" s="25" t="str">
        <f>IF(DATA!$G203&gt;0,TEXT(DATA!G203,"mm/dd/yyyy hh:mm"),"")</f>
        <v/>
      </c>
      <c r="I203" s="21"/>
    </row>
    <row r="204" spans="2:9" ht="23.25" x14ac:dyDescent="0.25">
      <c r="B204" s="25" t="str">
        <f t="shared" si="6"/>
        <v/>
      </c>
      <c r="C204" s="25" t="str">
        <f>IF(NOT(ISBLANK(DATA2!C204)),DATA2!C204,"")</f>
        <v/>
      </c>
      <c r="D204" s="25" t="str">
        <f>IF(NOT(ISBLANK(DATA2!D204)),DATA2!D204,"")</f>
        <v/>
      </c>
      <c r="E204" s="26" t="str">
        <f>IF(ISBLANK(DATA2!E204),"",IF(ISBLANK(DATA!C204),DATA2!E204,"Flag override: " &amp; TEXT(DATA!C204, "mm/dd/yyyy hh:mm") ))</f>
        <v/>
      </c>
      <c r="F204" s="27" t="str">
        <f>IF(ISBLANK(DATA2!F204),"",IF(ISBLANK(DATA!D204),DATA2!F204,"Flag override " &amp; TEXT(DATA!D204, "mm/dd/yyyy hh:mm")))</f>
        <v/>
      </c>
      <c r="G204" s="27" t="str">
        <f>IF(DATA2!G204 = 0, "", IF(ISBLANK(DATA2!G204),"",IF(ISBLANK(DATA!E204),DATA2!G204,"Flag override " &amp; TEXT(DATA!E204,"mm/dd/yyyy hh:mm"))))</f>
        <v/>
      </c>
      <c r="H204" s="25" t="str">
        <f>IF(DATA!$G204&gt;0,TEXT(DATA!G204,"mm/dd/yyyy hh:mm"),"")</f>
        <v/>
      </c>
      <c r="I204" s="21"/>
    </row>
    <row r="205" spans="2:9" ht="23.25" x14ac:dyDescent="0.25">
      <c r="B205" s="25" t="str">
        <f t="shared" si="6"/>
        <v/>
      </c>
      <c r="C205" s="25" t="str">
        <f>IF(NOT(ISBLANK(DATA2!C205)),DATA2!C205,"")</f>
        <v/>
      </c>
      <c r="D205" s="25" t="str">
        <f>IF(NOT(ISBLANK(DATA2!D205)),DATA2!D205,"")</f>
        <v/>
      </c>
      <c r="E205" s="26" t="str">
        <f>IF(ISBLANK(DATA2!E205),"",IF(ISBLANK(DATA!C205),DATA2!E205,"Flag override: " &amp; TEXT(DATA!C205, "mm/dd/yyyy hh:mm") ))</f>
        <v/>
      </c>
      <c r="F205" s="27" t="str">
        <f>IF(ISBLANK(DATA2!F205),"",IF(ISBLANK(DATA!D205),DATA2!F205,"Flag override " &amp; TEXT(DATA!D205, "mm/dd/yyyy hh:mm")))</f>
        <v/>
      </c>
      <c r="G205" s="27" t="str">
        <f>IF(DATA2!G205 = 0, "", IF(ISBLANK(DATA2!G205),"",IF(ISBLANK(DATA!E205),DATA2!G205,"Flag override " &amp; TEXT(DATA!E205,"mm/dd/yyyy hh:mm"))))</f>
        <v/>
      </c>
      <c r="H205" s="25" t="str">
        <f>IF(DATA!$G205&gt;0,TEXT(DATA!G205,"mm/dd/yyyy hh:mm"),"")</f>
        <v/>
      </c>
      <c r="I205" s="21"/>
    </row>
    <row r="206" spans="2:9" ht="23.25" x14ac:dyDescent="0.25">
      <c r="B206" s="25" t="str">
        <f t="shared" si="6"/>
        <v/>
      </c>
      <c r="C206" s="25" t="str">
        <f>IF(NOT(ISBLANK(DATA2!C206)),DATA2!C206,"")</f>
        <v/>
      </c>
      <c r="D206" s="25" t="str">
        <f>IF(NOT(ISBLANK(DATA2!D206)),DATA2!D206,"")</f>
        <v/>
      </c>
      <c r="E206" s="26" t="str">
        <f>IF(ISBLANK(DATA2!E206),"",IF(ISBLANK(DATA!C206),DATA2!E206,"Flag override: " &amp; TEXT(DATA!C206, "mm/dd/yyyy hh:mm") ))</f>
        <v/>
      </c>
      <c r="F206" s="27" t="str">
        <f>IF(ISBLANK(DATA2!F206),"",IF(ISBLANK(DATA!D206),DATA2!F206,"Flag override " &amp; TEXT(DATA!D206, "mm/dd/yyyy hh:mm")))</f>
        <v/>
      </c>
      <c r="G206" s="27" t="str">
        <f>IF(DATA2!G206 = 0, "", IF(ISBLANK(DATA2!G206),"",IF(ISBLANK(DATA!E206),DATA2!G206,"Flag override " &amp; TEXT(DATA!E206,"mm/dd/yyyy hh:mm"))))</f>
        <v/>
      </c>
      <c r="H206" s="25" t="str">
        <f>IF(DATA!$G206&gt;0,TEXT(DATA!G206,"mm/dd/yyyy hh:mm"),"")</f>
        <v/>
      </c>
      <c r="I206" s="21"/>
    </row>
    <row r="207" spans="2:9" ht="23.25" x14ac:dyDescent="0.25">
      <c r="B207" s="25" t="str">
        <f t="shared" si="6"/>
        <v/>
      </c>
      <c r="C207" s="25" t="str">
        <f>IF(NOT(ISBLANK(DATA2!C207)),DATA2!C207,"")</f>
        <v/>
      </c>
      <c r="D207" s="25" t="str">
        <f>IF(NOT(ISBLANK(DATA2!D207)),DATA2!D207,"")</f>
        <v/>
      </c>
      <c r="E207" s="26" t="str">
        <f>IF(ISBLANK(DATA2!E207),"",IF(ISBLANK(DATA!C207),DATA2!E207,"Flag override: " &amp; TEXT(DATA!C207, "mm/dd/yyyy hh:mm") ))</f>
        <v/>
      </c>
      <c r="F207" s="27" t="str">
        <f>IF(ISBLANK(DATA2!F207),"",IF(ISBLANK(DATA!D207),DATA2!F207,"Flag override " &amp; TEXT(DATA!D207, "mm/dd/yyyy hh:mm")))</f>
        <v/>
      </c>
      <c r="G207" s="27" t="str">
        <f>IF(DATA2!G207 = 0, "", IF(ISBLANK(DATA2!G207),"",IF(ISBLANK(DATA!E207),DATA2!G207,"Flag override " &amp; TEXT(DATA!E207,"mm/dd/yyyy hh:mm"))))</f>
        <v/>
      </c>
      <c r="H207" s="25" t="str">
        <f>IF(DATA!$G207&gt;0,TEXT(DATA!G207,"mm/dd/yyyy hh:mm"),"")</f>
        <v/>
      </c>
      <c r="I207" s="21"/>
    </row>
    <row r="208" spans="2:9" ht="23.25" x14ac:dyDescent="0.25">
      <c r="B208" s="25" t="str">
        <f t="shared" si="6"/>
        <v/>
      </c>
      <c r="C208" s="25" t="str">
        <f>IF(NOT(ISBLANK(DATA2!C208)),DATA2!C208,"")</f>
        <v/>
      </c>
      <c r="D208" s="25" t="str">
        <f>IF(NOT(ISBLANK(DATA2!D208)),DATA2!D208,"")</f>
        <v/>
      </c>
      <c r="E208" s="26" t="str">
        <f>IF(ISBLANK(DATA2!E208),"",IF(ISBLANK(DATA!C208),DATA2!E208,"Flag override: " &amp; TEXT(DATA!C208, "mm/dd/yyyy hh:mm") ))</f>
        <v/>
      </c>
      <c r="F208" s="27" t="str">
        <f>IF(ISBLANK(DATA2!F208),"",IF(ISBLANK(DATA!D208),DATA2!F208,"Flag override " &amp; TEXT(DATA!D208, "mm/dd/yyyy hh:mm")))</f>
        <v/>
      </c>
      <c r="G208" s="27" t="str">
        <f>IF(DATA2!G208 = 0, "", IF(ISBLANK(DATA2!G208),"",IF(ISBLANK(DATA!E208),DATA2!G208,"Flag override " &amp; TEXT(DATA!E208,"mm/dd/yyyy hh:mm"))))</f>
        <v/>
      </c>
      <c r="H208" s="25" t="str">
        <f>IF(DATA!$G208&gt;0,TEXT(DATA!G208,"mm/dd/yyyy hh:mm"),"")</f>
        <v/>
      </c>
      <c r="I208" s="21"/>
    </row>
    <row r="209" spans="2:9" ht="23.25" x14ac:dyDescent="0.25">
      <c r="B209" s="25" t="str">
        <f t="shared" si="6"/>
        <v/>
      </c>
      <c r="C209" s="25" t="str">
        <f>IF(NOT(ISBLANK(DATA2!C209)),DATA2!C209,"")</f>
        <v/>
      </c>
      <c r="D209" s="25" t="str">
        <f>IF(NOT(ISBLANK(DATA2!D209)),DATA2!D209,"")</f>
        <v/>
      </c>
      <c r="E209" s="26" t="str">
        <f>IF(ISBLANK(DATA2!E209),"",IF(ISBLANK(DATA!C209),DATA2!E209,"Flag override: " &amp; TEXT(DATA!C209, "mm/dd/yyyy hh:mm") ))</f>
        <v/>
      </c>
      <c r="F209" s="27" t="str">
        <f>IF(ISBLANK(DATA2!F209),"",IF(ISBLANK(DATA!D209),DATA2!F209,"Flag override " &amp; TEXT(DATA!D209, "mm/dd/yyyy hh:mm")))</f>
        <v/>
      </c>
      <c r="G209" s="27" t="str">
        <f>IF(DATA2!G209 = 0, "", IF(ISBLANK(DATA2!G209),"",IF(ISBLANK(DATA!E209),DATA2!G209,"Flag override " &amp; TEXT(DATA!E209,"mm/dd/yyyy hh:mm"))))</f>
        <v/>
      </c>
      <c r="H209" s="25" t="str">
        <f>IF(DATA!$G209&gt;0,TEXT(DATA!G209,"mm/dd/yyyy hh:mm"),"")</f>
        <v/>
      </c>
      <c r="I209" s="21"/>
    </row>
    <row r="210" spans="2:9" ht="23.25" x14ac:dyDescent="0.25">
      <c r="B210" s="25" t="str">
        <f t="shared" si="6"/>
        <v/>
      </c>
      <c r="C210" s="25" t="str">
        <f>IF(NOT(ISBLANK(DATA2!C210)),DATA2!C210,"")</f>
        <v/>
      </c>
      <c r="D210" s="25" t="str">
        <f>IF(NOT(ISBLANK(DATA2!D210)),DATA2!D210,"")</f>
        <v/>
      </c>
      <c r="E210" s="26" t="str">
        <f>IF(ISBLANK(DATA2!E210),"",IF(ISBLANK(DATA!C210),DATA2!E210,"Flag override: " &amp; TEXT(DATA!C210, "mm/dd/yyyy hh:mm") ))</f>
        <v/>
      </c>
      <c r="F210" s="27" t="str">
        <f>IF(ISBLANK(DATA2!F210),"",IF(ISBLANK(DATA!D210),DATA2!F210,"Flag override " &amp; TEXT(DATA!D210, "mm/dd/yyyy hh:mm")))</f>
        <v/>
      </c>
      <c r="G210" s="27" t="str">
        <f>IF(DATA2!G210 = 0, "", IF(ISBLANK(DATA2!G210),"",IF(ISBLANK(DATA!E210),DATA2!G210,"Flag override " &amp; TEXT(DATA!E210,"mm/dd/yyyy hh:mm"))))</f>
        <v/>
      </c>
      <c r="H210" s="25" t="str">
        <f>IF(DATA!$G210&gt;0,TEXT(DATA!G210,"mm/dd/yyyy hh:mm"),"")</f>
        <v/>
      </c>
      <c r="I210" s="21"/>
    </row>
    <row r="211" spans="2:9" ht="23.25" x14ac:dyDescent="0.25">
      <c r="B211" s="25" t="str">
        <f t="shared" si="6"/>
        <v/>
      </c>
      <c r="C211" s="25" t="str">
        <f>IF(NOT(ISBLANK(DATA2!C211)),DATA2!C211,"")</f>
        <v/>
      </c>
      <c r="D211" s="25" t="str">
        <f>IF(NOT(ISBLANK(DATA2!D211)),DATA2!D211,"")</f>
        <v/>
      </c>
      <c r="E211" s="26" t="str">
        <f>IF(ISBLANK(DATA2!E211),"",IF(ISBLANK(DATA!C211),DATA2!E211,"Flag override: " &amp; TEXT(DATA!C211, "mm/dd/yyyy hh:mm") ))</f>
        <v/>
      </c>
      <c r="F211" s="27" t="str">
        <f>IF(ISBLANK(DATA2!F211),"",IF(ISBLANK(DATA!D211),DATA2!F211,"Flag override " &amp; TEXT(DATA!D211, "mm/dd/yyyy hh:mm")))</f>
        <v/>
      </c>
      <c r="G211" s="27" t="str">
        <f>IF(DATA2!G211 = 0, "", IF(ISBLANK(DATA2!G211),"",IF(ISBLANK(DATA!E211),DATA2!G211,"Flag override " &amp; TEXT(DATA!E211,"mm/dd/yyyy hh:mm"))))</f>
        <v/>
      </c>
      <c r="H211" s="25" t="str">
        <f>IF(DATA!$G211&gt;0,TEXT(DATA!G211,"mm/dd/yyyy hh:mm"),"")</f>
        <v/>
      </c>
      <c r="I211" s="21"/>
    </row>
    <row r="212" spans="2:9" ht="23.25" x14ac:dyDescent="0.25">
      <c r="B212" s="25" t="str">
        <f t="shared" si="6"/>
        <v/>
      </c>
      <c r="C212" s="25" t="str">
        <f>IF(NOT(ISBLANK(DATA2!C212)),DATA2!C212,"")</f>
        <v/>
      </c>
      <c r="D212" s="25" t="str">
        <f>IF(NOT(ISBLANK(DATA2!D212)),DATA2!D212,"")</f>
        <v/>
      </c>
      <c r="E212" s="26" t="str">
        <f>IF(ISBLANK(DATA2!E212),"",IF(ISBLANK(DATA!C212),DATA2!E212,"Flag override: " &amp; TEXT(DATA!C212, "mm/dd/yyyy hh:mm") ))</f>
        <v/>
      </c>
      <c r="F212" s="27" t="str">
        <f>IF(ISBLANK(DATA2!F212),"",IF(ISBLANK(DATA!D212),DATA2!F212,"Flag override " &amp; TEXT(DATA!D212, "mm/dd/yyyy hh:mm")))</f>
        <v/>
      </c>
      <c r="G212" s="27" t="str">
        <f>IF(DATA2!G212 = 0, "", IF(ISBLANK(DATA2!G212),"",IF(ISBLANK(DATA!E212),DATA2!G212,"Flag override " &amp; TEXT(DATA!E212,"mm/dd/yyyy hh:mm"))))</f>
        <v/>
      </c>
      <c r="H212" s="25" t="str">
        <f>IF(DATA!$G212&gt;0,TEXT(DATA!G212,"mm/dd/yyyy hh:mm"),"")</f>
        <v/>
      </c>
      <c r="I212" s="21"/>
    </row>
    <row r="213" spans="2:9" ht="23.25" x14ac:dyDescent="0.25">
      <c r="B213" s="25" t="str">
        <f t="shared" si="6"/>
        <v/>
      </c>
      <c r="C213" s="25" t="str">
        <f>IF(NOT(ISBLANK(DATA2!C213)),DATA2!C213,"")</f>
        <v/>
      </c>
      <c r="D213" s="25" t="str">
        <f>IF(NOT(ISBLANK(DATA2!D213)),DATA2!D213,"")</f>
        <v/>
      </c>
      <c r="E213" s="26" t="str">
        <f>IF(ISBLANK(DATA2!E213),"",IF(ISBLANK(DATA!C213),DATA2!E213,"Flag override: " &amp; TEXT(DATA!C213, "mm/dd/yyyy hh:mm") ))</f>
        <v/>
      </c>
      <c r="F213" s="27" t="str">
        <f>IF(ISBLANK(DATA2!F213),"",IF(ISBLANK(DATA!D213),DATA2!F213,"Flag override " &amp; TEXT(DATA!D213, "mm/dd/yyyy hh:mm")))</f>
        <v/>
      </c>
      <c r="G213" s="27" t="str">
        <f>IF(DATA2!G213 = 0, "", IF(ISBLANK(DATA2!G213),"",IF(ISBLANK(DATA!E213),DATA2!G213,"Flag override " &amp; TEXT(DATA!E213,"mm/dd/yyyy hh:mm"))))</f>
        <v/>
      </c>
      <c r="H213" s="25" t="str">
        <f>IF(DATA!$G213&gt;0,TEXT(DATA!G213,"mm/dd/yyyy hh:mm"),"")</f>
        <v/>
      </c>
      <c r="I213" s="21"/>
    </row>
    <row r="214" spans="2:9" ht="23.25" x14ac:dyDescent="0.25">
      <c r="B214" s="25" t="str">
        <f t="shared" si="6"/>
        <v/>
      </c>
      <c r="C214" s="25" t="str">
        <f>IF(NOT(ISBLANK(DATA2!C214)),DATA2!C214,"")</f>
        <v/>
      </c>
      <c r="D214" s="25" t="str">
        <f>IF(NOT(ISBLANK(DATA2!D214)),DATA2!D214,"")</f>
        <v/>
      </c>
      <c r="E214" s="26" t="str">
        <f>IF(ISBLANK(DATA2!E214),"",IF(ISBLANK(DATA!C214),DATA2!E214,"Flag override: " &amp; TEXT(DATA!C214, "mm/dd/yyyy hh:mm") ))</f>
        <v/>
      </c>
      <c r="F214" s="27" t="str">
        <f>IF(ISBLANK(DATA2!F214),"",IF(ISBLANK(DATA!D214),DATA2!F214,"Flag override " &amp; TEXT(DATA!D214, "mm/dd/yyyy hh:mm")))</f>
        <v/>
      </c>
      <c r="G214" s="27" t="str">
        <f>IF(DATA2!G214 = 0, "", IF(ISBLANK(DATA2!G214),"",IF(ISBLANK(DATA!E214),DATA2!G214,"Flag override " &amp; TEXT(DATA!E214,"mm/dd/yyyy hh:mm"))))</f>
        <v/>
      </c>
      <c r="H214" s="25" t="str">
        <f>IF(DATA!$G214&gt;0,TEXT(DATA!G214,"mm/dd/yyyy hh:mm"),"")</f>
        <v/>
      </c>
      <c r="I214" s="21"/>
    </row>
    <row r="215" spans="2:9" ht="23.25" x14ac:dyDescent="0.25">
      <c r="B215" s="25" t="str">
        <f t="shared" si="6"/>
        <v/>
      </c>
      <c r="C215" s="25" t="str">
        <f>IF(NOT(ISBLANK(DATA2!C215)),DATA2!C215,"")</f>
        <v/>
      </c>
      <c r="D215" s="25" t="str">
        <f>IF(NOT(ISBLANK(DATA2!D215)),DATA2!D215,"")</f>
        <v/>
      </c>
      <c r="E215" s="26" t="str">
        <f>IF(ISBLANK(DATA2!E215),"",IF(ISBLANK(DATA!C215),DATA2!E215,"Flag override: " &amp; TEXT(DATA!C215, "mm/dd/yyyy hh:mm") ))</f>
        <v/>
      </c>
      <c r="F215" s="27" t="str">
        <f>IF(ISBLANK(DATA2!F215),"",IF(ISBLANK(DATA!D215),DATA2!F215,"Flag override " &amp; TEXT(DATA!D215, "mm/dd/yyyy hh:mm")))</f>
        <v/>
      </c>
      <c r="G215" s="27" t="str">
        <f>IF(DATA2!G215 = 0, "", IF(ISBLANK(DATA2!G215),"",IF(ISBLANK(DATA!E215),DATA2!G215,"Flag override " &amp; TEXT(DATA!E215,"mm/dd/yyyy hh:mm"))))</f>
        <v/>
      </c>
      <c r="H215" s="25" t="str">
        <f>IF(DATA!$G215&gt;0,TEXT(DATA!G215,"mm/dd/yyyy hh:mm"),"")</f>
        <v/>
      </c>
      <c r="I215" s="21"/>
    </row>
    <row r="216" spans="2:9" ht="23.25" x14ac:dyDescent="0.25">
      <c r="B216" s="25" t="str">
        <f t="shared" si="6"/>
        <v/>
      </c>
      <c r="C216" s="25" t="str">
        <f>IF(NOT(ISBLANK(DATA2!C216)),DATA2!C216,"")</f>
        <v/>
      </c>
      <c r="D216" s="25" t="str">
        <f>IF(NOT(ISBLANK(DATA2!D216)),DATA2!D216,"")</f>
        <v/>
      </c>
      <c r="E216" s="26" t="str">
        <f>IF(ISBLANK(DATA2!E216),"",IF(ISBLANK(DATA!C216),DATA2!E216,"Flag override: " &amp; TEXT(DATA!C216, "mm/dd/yyyy hh:mm") ))</f>
        <v/>
      </c>
      <c r="F216" s="27" t="str">
        <f>IF(ISBLANK(DATA2!F216),"",IF(ISBLANK(DATA!D216),DATA2!F216,"Flag override " &amp; TEXT(DATA!D216, "mm/dd/yyyy hh:mm")))</f>
        <v/>
      </c>
      <c r="G216" s="27" t="str">
        <f>IF(DATA2!G216 = 0, "", IF(ISBLANK(DATA2!G216),"",IF(ISBLANK(DATA!E216),DATA2!G216,"Flag override " &amp; TEXT(DATA!E216,"mm/dd/yyyy hh:mm"))))</f>
        <v/>
      </c>
      <c r="H216" s="25" t="str">
        <f>IF(DATA!$G216&gt;0,TEXT(DATA!G216,"mm/dd/yyyy hh:mm"),"")</f>
        <v/>
      </c>
      <c r="I216" s="21"/>
    </row>
    <row r="217" spans="2:9" ht="23.25" x14ac:dyDescent="0.25">
      <c r="B217" s="25" t="str">
        <f t="shared" si="6"/>
        <v/>
      </c>
      <c r="C217" s="25" t="str">
        <f>IF(NOT(ISBLANK(DATA2!C217)),DATA2!C217,"")</f>
        <v/>
      </c>
      <c r="D217" s="25" t="str">
        <f>IF(NOT(ISBLANK(DATA2!D217)),DATA2!D217,"")</f>
        <v/>
      </c>
      <c r="E217" s="26" t="str">
        <f>IF(ISBLANK(DATA2!E217),"",IF(ISBLANK(DATA!C217),DATA2!E217,"Flag override: " &amp; TEXT(DATA!C217, "mm/dd/yyyy hh:mm") ))</f>
        <v/>
      </c>
      <c r="F217" s="27" t="str">
        <f>IF(ISBLANK(DATA2!F217),"",IF(ISBLANK(DATA!D217),DATA2!F217,"Flag override " &amp; TEXT(DATA!D217, "mm/dd/yyyy hh:mm")))</f>
        <v/>
      </c>
      <c r="G217" s="27" t="str">
        <f>IF(DATA2!G217 = 0, "", IF(ISBLANK(DATA2!G217),"",IF(ISBLANK(DATA!E217),DATA2!G217,"Flag override " &amp; TEXT(DATA!E217,"mm/dd/yyyy hh:mm"))))</f>
        <v/>
      </c>
      <c r="H217" s="25" t="str">
        <f>IF(DATA!$G217&gt;0,TEXT(DATA!G217,"mm/dd/yyyy hh:mm"),"")</f>
        <v/>
      </c>
      <c r="I217" s="21"/>
    </row>
    <row r="218" spans="2:9" ht="23.25" x14ac:dyDescent="0.25">
      <c r="B218" s="25" t="str">
        <f t="shared" si="6"/>
        <v/>
      </c>
      <c r="C218" s="25" t="str">
        <f>IF(NOT(ISBLANK(DATA2!C218)),DATA2!C218,"")</f>
        <v/>
      </c>
      <c r="D218" s="25" t="str">
        <f>IF(NOT(ISBLANK(DATA2!D218)),DATA2!D218,"")</f>
        <v/>
      </c>
      <c r="E218" s="26" t="str">
        <f>IF(ISBLANK(DATA2!E218),"",IF(ISBLANK(DATA!C218),DATA2!E218,"Flag override: " &amp; TEXT(DATA!C218, "mm/dd/yyyy hh:mm") ))</f>
        <v/>
      </c>
      <c r="F218" s="27" t="str">
        <f>IF(ISBLANK(DATA2!F218),"",IF(ISBLANK(DATA!D218),DATA2!F218,"Flag override " &amp; TEXT(DATA!D218, "mm/dd/yyyy hh:mm")))</f>
        <v/>
      </c>
      <c r="G218" s="27" t="str">
        <f>IF(DATA2!G218 = 0, "", IF(ISBLANK(DATA2!G218),"",IF(ISBLANK(DATA!E218),DATA2!G218,"Flag override " &amp; TEXT(DATA!E218,"mm/dd/yyyy hh:mm"))))</f>
        <v/>
      </c>
      <c r="H218" s="25" t="str">
        <f>IF(DATA!$G218&gt;0,TEXT(DATA!G218,"mm/dd/yyyy hh:mm"),"")</f>
        <v/>
      </c>
      <c r="I218" s="21"/>
    </row>
    <row r="219" spans="2:9" ht="23.25" x14ac:dyDescent="0.25">
      <c r="B219" s="25" t="str">
        <f t="shared" si="6"/>
        <v/>
      </c>
      <c r="C219" s="25" t="str">
        <f>IF(NOT(ISBLANK(DATA2!C219)),DATA2!C219,"")</f>
        <v/>
      </c>
      <c r="D219" s="25" t="str">
        <f>IF(NOT(ISBLANK(DATA2!D219)),DATA2!D219,"")</f>
        <v/>
      </c>
      <c r="E219" s="26" t="str">
        <f>IF(ISBLANK(DATA2!E219),"",IF(ISBLANK(DATA!C219),DATA2!E219,"Flag override: " &amp; TEXT(DATA!C219, "mm/dd/yyyy hh:mm") ))</f>
        <v/>
      </c>
      <c r="F219" s="27" t="str">
        <f>IF(ISBLANK(DATA2!F219),"",IF(ISBLANK(DATA!D219),DATA2!F219,"Flag override " &amp; TEXT(DATA!D219, "mm/dd/yyyy hh:mm")))</f>
        <v/>
      </c>
      <c r="G219" s="27" t="str">
        <f>IF(DATA2!G219 = 0, "", IF(ISBLANK(DATA2!G219),"",IF(ISBLANK(DATA!E219),DATA2!G219,"Flag override " &amp; TEXT(DATA!E219,"mm/dd/yyyy hh:mm"))))</f>
        <v/>
      </c>
      <c r="H219" s="25" t="str">
        <f>IF(DATA!$G219&gt;0,TEXT(DATA!G219,"mm/dd/yyyy hh:mm"),"")</f>
        <v/>
      </c>
      <c r="I219" s="21"/>
    </row>
    <row r="220" spans="2:9" ht="23.25" x14ac:dyDescent="0.25">
      <c r="B220" s="25" t="str">
        <f t="shared" si="6"/>
        <v/>
      </c>
      <c r="C220" s="25" t="str">
        <f>IF(NOT(ISBLANK(DATA2!C220)),DATA2!C220,"")</f>
        <v/>
      </c>
      <c r="D220" s="25" t="str">
        <f>IF(NOT(ISBLANK(DATA2!D220)),DATA2!D220,"")</f>
        <v/>
      </c>
      <c r="E220" s="26" t="str">
        <f>IF(ISBLANK(DATA2!E220),"",IF(ISBLANK(DATA!C220),DATA2!E220,"Flag override: " &amp; TEXT(DATA!C220, "mm/dd/yyyy hh:mm") ))</f>
        <v/>
      </c>
      <c r="F220" s="27" t="str">
        <f>IF(ISBLANK(DATA2!F220),"",IF(ISBLANK(DATA!D220),DATA2!F220,"Flag override " &amp; TEXT(DATA!D220, "mm/dd/yyyy hh:mm")))</f>
        <v/>
      </c>
      <c r="G220" s="27" t="str">
        <f>IF(DATA2!G220 = 0, "", IF(ISBLANK(DATA2!G220),"",IF(ISBLANK(DATA!E220),DATA2!G220,"Flag override " &amp; TEXT(DATA!E220,"mm/dd/yyyy hh:mm"))))</f>
        <v/>
      </c>
      <c r="H220" s="25" t="str">
        <f>IF(DATA!$G220&gt;0,TEXT(DATA!G220,"mm/dd/yyyy hh:mm"),"")</f>
        <v/>
      </c>
      <c r="I220" s="21"/>
    </row>
    <row r="221" spans="2:9" ht="23.25" x14ac:dyDescent="0.25">
      <c r="B221" s="25" t="str">
        <f t="shared" si="6"/>
        <v/>
      </c>
      <c r="C221" s="25" t="str">
        <f>IF(NOT(ISBLANK(DATA2!C221)),DATA2!C221,"")</f>
        <v/>
      </c>
      <c r="D221" s="25" t="str">
        <f>IF(NOT(ISBLANK(DATA2!D221)),DATA2!D221,"")</f>
        <v/>
      </c>
      <c r="E221" s="26" t="str">
        <f>IF(ISBLANK(DATA2!E221),"",IF(ISBLANK(DATA!C221),DATA2!E221,"Flag override: " &amp; TEXT(DATA!C221, "mm/dd/yyyy hh:mm") ))</f>
        <v/>
      </c>
      <c r="F221" s="27" t="str">
        <f>IF(ISBLANK(DATA2!F221),"",IF(ISBLANK(DATA!D221),DATA2!F221,"Flag override " &amp; TEXT(DATA!D221, "mm/dd/yyyy hh:mm")))</f>
        <v/>
      </c>
      <c r="G221" s="27" t="str">
        <f>IF(DATA2!G221 = 0, "", IF(ISBLANK(DATA2!G221),"",IF(ISBLANK(DATA!E221),DATA2!G221,"Flag override " &amp; TEXT(DATA!E221,"mm/dd/yyyy hh:mm"))))</f>
        <v/>
      </c>
      <c r="H221" s="25" t="str">
        <f>IF(DATA!$G221&gt;0,TEXT(DATA!G221,"mm/dd/yyyy hh:mm"),"")</f>
        <v/>
      </c>
      <c r="I221" s="21"/>
    </row>
    <row r="222" spans="2:9" ht="23.25" x14ac:dyDescent="0.25">
      <c r="B222" s="25" t="str">
        <f t="shared" si="6"/>
        <v/>
      </c>
      <c r="C222" s="25" t="str">
        <f>IF(NOT(ISBLANK(DATA2!C222)),DATA2!C222,"")</f>
        <v/>
      </c>
      <c r="D222" s="25" t="str">
        <f>IF(NOT(ISBLANK(DATA2!D222)),DATA2!D222,"")</f>
        <v/>
      </c>
      <c r="E222" s="26" t="str">
        <f>IF(ISBLANK(DATA2!E222),"",IF(ISBLANK(DATA!C222),DATA2!E222,"Flag override: " &amp; TEXT(DATA!C222, "mm/dd/yyyy hh:mm") ))</f>
        <v/>
      </c>
      <c r="F222" s="27" t="str">
        <f>IF(ISBLANK(DATA2!F222),"",IF(ISBLANK(DATA!D222),DATA2!F222,"Flag override " &amp; TEXT(DATA!D222, "mm/dd/yyyy hh:mm")))</f>
        <v/>
      </c>
      <c r="G222" s="27" t="str">
        <f>IF(DATA2!G222 = 0, "", IF(ISBLANK(DATA2!G222),"",IF(ISBLANK(DATA!E222),DATA2!G222,"Flag override " &amp; TEXT(DATA!E222,"mm/dd/yyyy hh:mm"))))</f>
        <v/>
      </c>
      <c r="H222" s="25" t="str">
        <f>IF(DATA!$G222&gt;0,TEXT(DATA!G222,"mm/dd/yyyy hh:mm"),"")</f>
        <v/>
      </c>
      <c r="I222" s="21"/>
    </row>
    <row r="223" spans="2:9" ht="23.25" x14ac:dyDescent="0.25">
      <c r="B223" s="25" t="str">
        <f t="shared" si="6"/>
        <v/>
      </c>
      <c r="C223" s="25" t="str">
        <f>IF(NOT(ISBLANK(DATA2!C223)),DATA2!C223,"")</f>
        <v/>
      </c>
      <c r="D223" s="25" t="str">
        <f>IF(NOT(ISBLANK(DATA2!D223)),DATA2!D223,"")</f>
        <v/>
      </c>
      <c r="E223" s="26" t="str">
        <f>IF(ISBLANK(DATA2!E223),"",IF(ISBLANK(DATA!C223),DATA2!E223,"Flag override: " &amp; TEXT(DATA!C223, "mm/dd/yyyy hh:mm") ))</f>
        <v/>
      </c>
      <c r="F223" s="27" t="str">
        <f>IF(ISBLANK(DATA2!F223),"",IF(ISBLANK(DATA!D223),DATA2!F223,"Flag override " &amp; TEXT(DATA!D223, "mm/dd/yyyy hh:mm")))</f>
        <v/>
      </c>
      <c r="G223" s="27" t="str">
        <f>IF(DATA2!G223 = 0, "", IF(ISBLANK(DATA2!G223),"",IF(ISBLANK(DATA!E223),DATA2!G223,"Flag override " &amp; TEXT(DATA!E223,"mm/dd/yyyy hh:mm"))))</f>
        <v/>
      </c>
      <c r="H223" s="25" t="str">
        <f>IF(DATA!$G223&gt;0,TEXT(DATA!G223,"mm/dd/yyyy hh:mm"),"")</f>
        <v/>
      </c>
      <c r="I223" s="21"/>
    </row>
    <row r="224" spans="2:9" ht="23.25" x14ac:dyDescent="0.25">
      <c r="B224" s="25" t="str">
        <f t="shared" si="6"/>
        <v/>
      </c>
      <c r="C224" s="25" t="str">
        <f>IF(NOT(ISBLANK(DATA2!C224)),DATA2!C224,"")</f>
        <v/>
      </c>
      <c r="D224" s="25" t="str">
        <f>IF(NOT(ISBLANK(DATA2!D224)),DATA2!D224,"")</f>
        <v/>
      </c>
      <c r="E224" s="26" t="str">
        <f>IF(ISBLANK(DATA2!E224),"",IF(ISBLANK(DATA!C224),DATA2!E224,"Flag override: " &amp; TEXT(DATA!C224, "mm/dd/yyyy hh:mm") ))</f>
        <v/>
      </c>
      <c r="F224" s="27" t="str">
        <f>IF(ISBLANK(DATA2!F224),"",IF(ISBLANK(DATA!D224),DATA2!F224,"Flag override " &amp; TEXT(DATA!D224, "mm/dd/yyyy hh:mm")))</f>
        <v/>
      </c>
      <c r="G224" s="27" t="str">
        <f>IF(DATA2!G224 = 0, "", IF(ISBLANK(DATA2!G224),"",IF(ISBLANK(DATA!E224),DATA2!G224,"Flag override " &amp; TEXT(DATA!E224,"mm/dd/yyyy hh:mm"))))</f>
        <v/>
      </c>
      <c r="H224" s="25" t="str">
        <f>IF(DATA!$G224&gt;0,TEXT(DATA!G224,"mm/dd/yyyy hh:mm"),"")</f>
        <v/>
      </c>
      <c r="I224" s="21"/>
    </row>
    <row r="225" spans="2:9" ht="23.25" x14ac:dyDescent="0.25">
      <c r="B225" s="25" t="str">
        <f t="shared" si="6"/>
        <v/>
      </c>
      <c r="C225" s="25" t="str">
        <f>IF(NOT(ISBLANK(DATA2!C225)),DATA2!C225,"")</f>
        <v/>
      </c>
      <c r="D225" s="25" t="str">
        <f>IF(NOT(ISBLANK(DATA2!D225)),DATA2!D225,"")</f>
        <v/>
      </c>
      <c r="E225" s="26" t="str">
        <f>IF(ISBLANK(DATA2!E225),"",IF(ISBLANK(DATA!C225),DATA2!E225,"Flag override: " &amp; TEXT(DATA!C225, "mm/dd/yyyy hh:mm") ))</f>
        <v/>
      </c>
      <c r="F225" s="27" t="str">
        <f>IF(ISBLANK(DATA2!F225),"",IF(ISBLANK(DATA!D225),DATA2!F225,"Flag override " &amp; TEXT(DATA!D225, "mm/dd/yyyy hh:mm")))</f>
        <v/>
      </c>
      <c r="G225" s="27" t="str">
        <f>IF(DATA2!G225 = 0, "", IF(ISBLANK(DATA2!G225),"",IF(ISBLANK(DATA!E225),DATA2!G225,"Flag override " &amp; TEXT(DATA!E225,"mm/dd/yyyy hh:mm"))))</f>
        <v/>
      </c>
      <c r="H225" s="25" t="str">
        <f>IF(DATA!$G225&gt;0,TEXT(DATA!G225,"mm/dd/yyyy hh:mm"),"")</f>
        <v/>
      </c>
      <c r="I225" s="21"/>
    </row>
    <row r="226" spans="2:9" ht="23.25" x14ac:dyDescent="0.25">
      <c r="B226" s="25" t="str">
        <f t="shared" si="6"/>
        <v/>
      </c>
      <c r="C226" s="25" t="str">
        <f>IF(NOT(ISBLANK(DATA2!C226)),DATA2!C226,"")</f>
        <v/>
      </c>
      <c r="D226" s="25" t="str">
        <f>IF(NOT(ISBLANK(DATA2!D226)),DATA2!D226,"")</f>
        <v/>
      </c>
      <c r="E226" s="26" t="str">
        <f>IF(ISBLANK(DATA2!E226),"",IF(ISBLANK(DATA!C226),DATA2!E226,"Flag override: " &amp; TEXT(DATA!C226, "mm/dd/yyyy hh:mm") ))</f>
        <v/>
      </c>
      <c r="F226" s="27" t="str">
        <f>IF(ISBLANK(DATA2!F226),"",IF(ISBLANK(DATA!D226),DATA2!F226,"Flag override " &amp; TEXT(DATA!D226, "mm/dd/yyyy hh:mm")))</f>
        <v/>
      </c>
      <c r="G226" s="27" t="str">
        <f>IF(DATA2!G226 = 0, "", IF(ISBLANK(DATA2!G226),"",IF(ISBLANK(DATA!E226),DATA2!G226,"Flag override " &amp; TEXT(DATA!E226,"mm/dd/yyyy hh:mm"))))</f>
        <v/>
      </c>
      <c r="H226" s="25" t="str">
        <f>IF(DATA!$G226&gt;0,TEXT(DATA!G226,"mm/dd/yyyy hh:mm"),"")</f>
        <v/>
      </c>
      <c r="I226" s="21"/>
    </row>
    <row r="227" spans="2:9" ht="23.25" x14ac:dyDescent="0.25">
      <c r="B227" s="25" t="str">
        <f t="shared" si="6"/>
        <v/>
      </c>
      <c r="C227" s="25" t="str">
        <f>IF(NOT(ISBLANK(DATA2!C227)),DATA2!C227,"")</f>
        <v/>
      </c>
      <c r="D227" s="25" t="str">
        <f>IF(NOT(ISBLANK(DATA2!D227)),DATA2!D227,"")</f>
        <v/>
      </c>
      <c r="E227" s="26" t="str">
        <f>IF(ISBLANK(DATA2!E227),"",IF(ISBLANK(DATA!C227),DATA2!E227,"Flag override: " &amp; TEXT(DATA!C227, "mm/dd/yyyy hh:mm") ))</f>
        <v/>
      </c>
      <c r="F227" s="27" t="str">
        <f>IF(ISBLANK(DATA2!F227),"",IF(ISBLANK(DATA!D227),DATA2!F227,"Flag override " &amp; TEXT(DATA!D227, "mm/dd/yyyy hh:mm")))</f>
        <v/>
      </c>
      <c r="G227" s="27" t="str">
        <f>IF(DATA2!G227 = 0, "", IF(ISBLANK(DATA2!G227),"",IF(ISBLANK(DATA!E227),DATA2!G227,"Flag override " &amp; TEXT(DATA!E227,"mm/dd/yyyy hh:mm"))))</f>
        <v/>
      </c>
      <c r="H227" s="25" t="str">
        <f>IF(DATA!$G227&gt;0,TEXT(DATA!G227,"mm/dd/yyyy hh:mm"),"")</f>
        <v/>
      </c>
      <c r="I227" s="21"/>
    </row>
    <row r="228" spans="2:9" ht="23.25" x14ac:dyDescent="0.25">
      <c r="B228" s="25" t="str">
        <f t="shared" si="6"/>
        <v/>
      </c>
      <c r="C228" s="25" t="str">
        <f>IF(NOT(ISBLANK(DATA2!C228)),DATA2!C228,"")</f>
        <v/>
      </c>
      <c r="D228" s="25" t="str">
        <f>IF(NOT(ISBLANK(DATA2!D228)),DATA2!D228,"")</f>
        <v/>
      </c>
      <c r="E228" s="26" t="str">
        <f>IF(ISBLANK(DATA2!E228),"",IF(ISBLANK(DATA!C228),DATA2!E228,"Flag override: " &amp; TEXT(DATA!C228, "mm/dd/yyyy hh:mm") ))</f>
        <v/>
      </c>
      <c r="F228" s="27" t="str">
        <f>IF(ISBLANK(DATA2!F228),"",IF(ISBLANK(DATA!D228),DATA2!F228,"Flag override " &amp; TEXT(DATA!D228, "mm/dd/yyyy hh:mm")))</f>
        <v/>
      </c>
      <c r="G228" s="27" t="str">
        <f>IF(DATA2!G228 = 0, "", IF(ISBLANK(DATA2!G228),"",IF(ISBLANK(DATA!E228),DATA2!G228,"Flag override " &amp; TEXT(DATA!E228,"mm/dd/yyyy hh:mm"))))</f>
        <v/>
      </c>
      <c r="H228" s="25" t="str">
        <f>IF(DATA!$G228&gt;0,TEXT(DATA!G228,"mm/dd/yyyy hh:mm"),"")</f>
        <v/>
      </c>
      <c r="I228" s="21"/>
    </row>
    <row r="229" spans="2:9" ht="23.25" x14ac:dyDescent="0.25">
      <c r="B229" s="25" t="str">
        <f t="shared" si="6"/>
        <v/>
      </c>
      <c r="C229" s="25" t="str">
        <f>IF(NOT(ISBLANK(DATA2!C229)),DATA2!C229,"")</f>
        <v/>
      </c>
      <c r="D229" s="25" t="str">
        <f>IF(NOT(ISBLANK(DATA2!D229)),DATA2!D229,"")</f>
        <v/>
      </c>
      <c r="E229" s="26" t="str">
        <f>IF(ISBLANK(DATA2!E229),"",IF(ISBLANK(DATA!C229),DATA2!E229,"Flag override: " &amp; TEXT(DATA!C229, "mm/dd/yyyy hh:mm") ))</f>
        <v/>
      </c>
      <c r="F229" s="27" t="str">
        <f>IF(ISBLANK(DATA2!F229),"",IF(ISBLANK(DATA!D229),DATA2!F229,"Flag override " &amp; TEXT(DATA!D229, "mm/dd/yyyy hh:mm")))</f>
        <v/>
      </c>
      <c r="G229" s="27" t="str">
        <f>IF(DATA2!G229 = 0, "", IF(ISBLANK(DATA2!G229),"",IF(ISBLANK(DATA!E229),DATA2!G229,"Flag override " &amp; TEXT(DATA!E229,"mm/dd/yyyy hh:mm"))))</f>
        <v/>
      </c>
      <c r="H229" s="25" t="str">
        <f>IF(DATA!$G229&gt;0,TEXT(DATA!G229,"mm/dd/yyyy hh:mm"),"")</f>
        <v/>
      </c>
      <c r="I229" s="21"/>
    </row>
    <row r="230" spans="2:9" ht="23.25" x14ac:dyDescent="0.25">
      <c r="B230" s="25" t="str">
        <f t="shared" si="6"/>
        <v/>
      </c>
      <c r="C230" s="25" t="str">
        <f>IF(NOT(ISBLANK(DATA2!C230)),DATA2!C230,"")</f>
        <v/>
      </c>
      <c r="D230" s="25" t="str">
        <f>IF(NOT(ISBLANK(DATA2!D230)),DATA2!D230,"")</f>
        <v/>
      </c>
      <c r="E230" s="26" t="str">
        <f>IF(ISBLANK(DATA2!E230),"",IF(ISBLANK(DATA!C230),DATA2!E230,"Flag override: " &amp; TEXT(DATA!C230, "mm/dd/yyyy hh:mm") ))</f>
        <v/>
      </c>
      <c r="F230" s="27" t="str">
        <f>IF(ISBLANK(DATA2!F230),"",IF(ISBLANK(DATA!D230),DATA2!F230,"Flag override " &amp; TEXT(DATA!D230, "mm/dd/yyyy hh:mm")))</f>
        <v/>
      </c>
      <c r="G230" s="27" t="str">
        <f>IF(DATA2!G230 = 0, "", IF(ISBLANK(DATA2!G230),"",IF(ISBLANK(DATA!E230),DATA2!G230,"Flag override " &amp; TEXT(DATA!E230,"mm/dd/yyyy hh:mm"))))</f>
        <v/>
      </c>
      <c r="H230" s="25" t="str">
        <f>IF(DATA!$G230&gt;0,TEXT(DATA!G230,"mm/dd/yyyy hh:mm"),"")</f>
        <v/>
      </c>
      <c r="I230" s="21"/>
    </row>
    <row r="231" spans="2:9" ht="23.25" x14ac:dyDescent="0.25">
      <c r="B231" s="25" t="str">
        <f t="shared" si="6"/>
        <v/>
      </c>
      <c r="C231" s="25" t="str">
        <f>IF(NOT(ISBLANK(DATA2!C231)),DATA2!C231,"")</f>
        <v/>
      </c>
      <c r="D231" s="25" t="str">
        <f>IF(NOT(ISBLANK(DATA2!D231)),DATA2!D231,"")</f>
        <v/>
      </c>
      <c r="E231" s="26" t="str">
        <f>IF(ISBLANK(DATA2!E231),"",IF(ISBLANK(DATA!C231),DATA2!E231,"Flag override: " &amp; TEXT(DATA!C231, "mm/dd/yyyy hh:mm") ))</f>
        <v/>
      </c>
      <c r="F231" s="27" t="str">
        <f>IF(ISBLANK(DATA2!F231),"",IF(ISBLANK(DATA!D231),DATA2!F231,"Flag override " &amp; TEXT(DATA!D231, "mm/dd/yyyy hh:mm")))</f>
        <v/>
      </c>
      <c r="G231" s="27" t="str">
        <f>IF(DATA2!G231 = 0, "", IF(ISBLANK(DATA2!G231),"",IF(ISBLANK(DATA!E231),DATA2!G231,"Flag override " &amp; TEXT(DATA!E231,"mm/dd/yyyy hh:mm"))))</f>
        <v/>
      </c>
      <c r="H231" s="25" t="str">
        <f>IF(DATA!$G231&gt;0,TEXT(DATA!G231,"mm/dd/yyyy hh:mm"),"")</f>
        <v/>
      </c>
      <c r="I231" s="21"/>
    </row>
    <row r="232" spans="2:9" ht="23.25" x14ac:dyDescent="0.25">
      <c r="B232" s="25" t="str">
        <f t="shared" si="6"/>
        <v/>
      </c>
      <c r="C232" s="25" t="str">
        <f>IF(NOT(ISBLANK(DATA2!C232)),DATA2!C232,"")</f>
        <v/>
      </c>
      <c r="D232" s="25" t="str">
        <f>IF(NOT(ISBLANK(DATA2!D232)),DATA2!D232,"")</f>
        <v/>
      </c>
      <c r="E232" s="26" t="str">
        <f>IF(ISBLANK(DATA2!E232),"",IF(ISBLANK(DATA!C232),DATA2!E232,"Flag override: " &amp; TEXT(DATA!C232, "mm/dd/yyyy hh:mm") ))</f>
        <v/>
      </c>
      <c r="F232" s="27" t="str">
        <f>IF(ISBLANK(DATA2!F232),"",IF(ISBLANK(DATA!D232),DATA2!F232,"Flag override " &amp; TEXT(DATA!D232, "mm/dd/yyyy hh:mm")))</f>
        <v/>
      </c>
      <c r="G232" s="27" t="str">
        <f>IF(DATA2!G232 = 0, "", IF(ISBLANK(DATA2!G232),"",IF(ISBLANK(DATA!E232),DATA2!G232,"Flag override " &amp; TEXT(DATA!E232,"mm/dd/yyyy hh:mm"))))</f>
        <v/>
      </c>
      <c r="H232" s="25" t="str">
        <f>IF(DATA!$G232&gt;0,TEXT(DATA!G232,"mm/dd/yyyy hh:mm"),"")</f>
        <v/>
      </c>
      <c r="I232" s="21"/>
    </row>
    <row r="233" spans="2:9" ht="23.25" x14ac:dyDescent="0.25">
      <c r="B233" s="25" t="str">
        <f t="shared" si="6"/>
        <v/>
      </c>
      <c r="C233" s="25" t="str">
        <f>IF(NOT(ISBLANK(DATA2!C233)),DATA2!C233,"")</f>
        <v/>
      </c>
      <c r="D233" s="25" t="str">
        <f>IF(NOT(ISBLANK(DATA2!D233)),DATA2!D233,"")</f>
        <v/>
      </c>
      <c r="E233" s="26" t="str">
        <f>IF(ISBLANK(DATA2!E233),"",IF(ISBLANK(DATA!C233),DATA2!E233,"Flag override: " &amp; TEXT(DATA!C233, "mm/dd/yyyy hh:mm") ))</f>
        <v/>
      </c>
      <c r="F233" s="27" t="str">
        <f>IF(ISBLANK(DATA2!F233),"",IF(ISBLANK(DATA!D233),DATA2!F233,"Flag override " &amp; TEXT(DATA!D233, "mm/dd/yyyy hh:mm")))</f>
        <v/>
      </c>
      <c r="G233" s="27" t="str">
        <f>IF(DATA2!G233 = 0, "", IF(ISBLANK(DATA2!G233),"",IF(ISBLANK(DATA!E233),DATA2!G233,"Flag override " &amp; TEXT(DATA!E233,"mm/dd/yyyy hh:mm"))))</f>
        <v/>
      </c>
      <c r="H233" s="25" t="str">
        <f>IF(DATA!$G233&gt;0,TEXT(DATA!G233,"mm/dd/yyyy hh:mm"),"")</f>
        <v/>
      </c>
      <c r="I233" s="21"/>
    </row>
    <row r="234" spans="2:9" ht="23.25" x14ac:dyDescent="0.25">
      <c r="B234" s="25" t="str">
        <f t="shared" si="6"/>
        <v/>
      </c>
      <c r="C234" s="25" t="str">
        <f>IF(NOT(ISBLANK(DATA2!C234)),DATA2!C234,"")</f>
        <v/>
      </c>
      <c r="D234" s="25" t="str">
        <f>IF(NOT(ISBLANK(DATA2!D234)),DATA2!D234,"")</f>
        <v/>
      </c>
      <c r="E234" s="26" t="str">
        <f>IF(ISBLANK(DATA2!E234),"",IF(ISBLANK(DATA!C234),DATA2!E234,"Flag override: " &amp; TEXT(DATA!C234, "mm/dd/yyyy hh:mm") ))</f>
        <v/>
      </c>
      <c r="F234" s="27" t="str">
        <f>IF(ISBLANK(DATA2!F234),"",IF(ISBLANK(DATA!D234),DATA2!F234,"Flag override " &amp; TEXT(DATA!D234, "mm/dd/yyyy hh:mm")))</f>
        <v/>
      </c>
      <c r="G234" s="27" t="str">
        <f>IF(DATA2!G234 = 0, "", IF(ISBLANK(DATA2!G234),"",IF(ISBLANK(DATA!E234),DATA2!G234,"Flag override " &amp; TEXT(DATA!E234,"mm/dd/yyyy hh:mm"))))</f>
        <v/>
      </c>
      <c r="H234" s="25" t="str">
        <f>IF(DATA!$G234&gt;0,TEXT(DATA!G234,"mm/dd/yyyy hh:mm"),"")</f>
        <v/>
      </c>
      <c r="I234" s="21"/>
    </row>
    <row r="235" spans="2:9" ht="23.25" x14ac:dyDescent="0.25">
      <c r="B235" s="25" t="str">
        <f t="shared" si="6"/>
        <v/>
      </c>
      <c r="C235" s="25" t="str">
        <f>IF(NOT(ISBLANK(DATA2!C235)),DATA2!C235,"")</f>
        <v/>
      </c>
      <c r="D235" s="25" t="str">
        <f>IF(NOT(ISBLANK(DATA2!D235)),DATA2!D235,"")</f>
        <v/>
      </c>
      <c r="E235" s="26" t="str">
        <f>IF(ISBLANK(DATA2!E235),"",IF(ISBLANK(DATA!C235),DATA2!E235,"Flag override: " &amp; TEXT(DATA!C235, "mm/dd/yyyy hh:mm") ))</f>
        <v/>
      </c>
      <c r="F235" s="27" t="str">
        <f>IF(ISBLANK(DATA2!F235),"",IF(ISBLANK(DATA!D235),DATA2!F235,"Flag override " &amp; TEXT(DATA!D235, "mm/dd/yyyy hh:mm")))</f>
        <v/>
      </c>
      <c r="G235" s="27" t="str">
        <f>IF(DATA2!G235 = 0, "", IF(ISBLANK(DATA2!G235),"",IF(ISBLANK(DATA!E235),DATA2!G235,"Flag override " &amp; TEXT(DATA!E235,"mm/dd/yyyy hh:mm"))))</f>
        <v/>
      </c>
      <c r="H235" s="25" t="str">
        <f>IF(DATA!$G235&gt;0,TEXT(DATA!G235,"mm/dd/yyyy hh:mm"),"")</f>
        <v/>
      </c>
      <c r="I235" s="21"/>
    </row>
    <row r="236" spans="2:9" ht="23.25" x14ac:dyDescent="0.25">
      <c r="B236" s="25" t="str">
        <f t="shared" si="6"/>
        <v/>
      </c>
      <c r="C236" s="25" t="str">
        <f>IF(NOT(ISBLANK(DATA2!C236)),DATA2!C236,"")</f>
        <v/>
      </c>
      <c r="D236" s="25" t="str">
        <f>IF(NOT(ISBLANK(DATA2!D236)),DATA2!D236,"")</f>
        <v/>
      </c>
      <c r="E236" s="26" t="str">
        <f>IF(ISBLANK(DATA2!E236),"",IF(ISBLANK(DATA!C236),DATA2!E236,"Flag override: " &amp; TEXT(DATA!C236, "mm/dd/yyyy hh:mm") ))</f>
        <v/>
      </c>
      <c r="F236" s="27" t="str">
        <f>IF(ISBLANK(DATA2!F236),"",IF(ISBLANK(DATA!D236),DATA2!F236,"Flag override " &amp; TEXT(DATA!D236, "mm/dd/yyyy hh:mm")))</f>
        <v/>
      </c>
      <c r="G236" s="27" t="str">
        <f>IF(DATA2!G236 = 0, "", IF(ISBLANK(DATA2!G236),"",IF(ISBLANK(DATA!E236),DATA2!G236,"Flag override " &amp; TEXT(DATA!E236,"mm/dd/yyyy hh:mm"))))</f>
        <v/>
      </c>
      <c r="H236" s="25" t="str">
        <f>IF(DATA!$G236&gt;0,TEXT(DATA!G236,"mm/dd/yyyy hh:mm"),"")</f>
        <v/>
      </c>
      <c r="I236" s="21"/>
    </row>
    <row r="237" spans="2:9" ht="23.25" x14ac:dyDescent="0.25">
      <c r="B237" s="25" t="str">
        <f t="shared" si="6"/>
        <v/>
      </c>
      <c r="C237" s="25" t="str">
        <f>IF(NOT(ISBLANK(DATA2!C237)),DATA2!C237,"")</f>
        <v/>
      </c>
      <c r="D237" s="25" t="str">
        <f>IF(NOT(ISBLANK(DATA2!D237)),DATA2!D237,"")</f>
        <v/>
      </c>
      <c r="E237" s="26" t="str">
        <f>IF(ISBLANK(DATA2!E237),"",IF(ISBLANK(DATA!C237),DATA2!E237,"Flag override: " &amp; TEXT(DATA!C237, "mm/dd/yyyy hh:mm") ))</f>
        <v/>
      </c>
      <c r="F237" s="27" t="str">
        <f>IF(ISBLANK(DATA2!F237),"",IF(ISBLANK(DATA!D237),DATA2!F237,"Flag override " &amp; TEXT(DATA!D237, "mm/dd/yyyy hh:mm")))</f>
        <v/>
      </c>
      <c r="G237" s="27" t="str">
        <f>IF(DATA2!G237 = 0, "", IF(ISBLANK(DATA2!G237),"",IF(ISBLANK(DATA!E237),DATA2!G237,"Flag override " &amp; TEXT(DATA!E237,"mm/dd/yyyy hh:mm"))))</f>
        <v/>
      </c>
      <c r="H237" s="25" t="str">
        <f>IF(DATA!$G237&gt;0,TEXT(DATA!G237,"mm/dd/yyyy hh:mm"),"")</f>
        <v/>
      </c>
      <c r="I237" s="21"/>
    </row>
    <row r="238" spans="2:9" ht="23.25" x14ac:dyDescent="0.25">
      <c r="B238" s="25" t="str">
        <f t="shared" si="6"/>
        <v/>
      </c>
      <c r="C238" s="25" t="str">
        <f>IF(NOT(ISBLANK(DATA2!C238)),DATA2!C238,"")</f>
        <v/>
      </c>
      <c r="D238" s="25" t="str">
        <f>IF(NOT(ISBLANK(DATA2!D238)),DATA2!D238,"")</f>
        <v/>
      </c>
      <c r="E238" s="26" t="str">
        <f>IF(ISBLANK(DATA2!E238),"",IF(ISBLANK(DATA!C238),DATA2!E238,"Flag override: " &amp; TEXT(DATA!C238, "mm/dd/yyyy hh:mm") ))</f>
        <v/>
      </c>
      <c r="F238" s="27" t="str">
        <f>IF(ISBLANK(DATA2!F238),"",IF(ISBLANK(DATA!D238),DATA2!F238,"Flag override " &amp; TEXT(DATA!D238, "mm/dd/yyyy hh:mm")))</f>
        <v/>
      </c>
      <c r="G238" s="27" t="str">
        <f>IF(DATA2!G238 = 0, "", IF(ISBLANK(DATA2!G238),"",IF(ISBLANK(DATA!E238),DATA2!G238,"Flag override " &amp; TEXT(DATA!E238,"mm/dd/yyyy hh:mm"))))</f>
        <v/>
      </c>
      <c r="H238" s="25" t="str">
        <f>IF(DATA!$G238&gt;0,TEXT(DATA!G238,"mm/dd/yyyy hh:mm"),"")</f>
        <v/>
      </c>
      <c r="I238" s="21"/>
    </row>
    <row r="239" spans="2:9" ht="23.25" x14ac:dyDescent="0.25">
      <c r="B239" s="25" t="str">
        <f t="shared" si="6"/>
        <v/>
      </c>
      <c r="C239" s="25" t="str">
        <f>IF(NOT(ISBLANK(DATA2!C239)),DATA2!C239,"")</f>
        <v/>
      </c>
      <c r="D239" s="25" t="str">
        <f>IF(NOT(ISBLANK(DATA2!D239)),DATA2!D239,"")</f>
        <v/>
      </c>
      <c r="E239" s="26" t="str">
        <f>IF(ISBLANK(DATA2!E239),"",IF(ISBLANK(DATA!C239),DATA2!E239,"Flag override: " &amp; TEXT(DATA!C239, "mm/dd/yyyy hh:mm") ))</f>
        <v/>
      </c>
      <c r="F239" s="27" t="str">
        <f>IF(ISBLANK(DATA2!F239),"",IF(ISBLANK(DATA!D239),DATA2!F239,"Flag override " &amp; TEXT(DATA!D239, "mm/dd/yyyy hh:mm")))</f>
        <v/>
      </c>
      <c r="G239" s="27" t="str">
        <f>IF(DATA2!G239 = 0, "", IF(ISBLANK(DATA2!G239),"",IF(ISBLANK(DATA!E239),DATA2!G239,"Flag override " &amp; TEXT(DATA!E239,"mm/dd/yyyy hh:mm"))))</f>
        <v/>
      </c>
      <c r="H239" s="25" t="str">
        <f>IF(DATA!$G239&gt;0,TEXT(DATA!G239,"mm/dd/yyyy hh:mm"),"")</f>
        <v/>
      </c>
      <c r="I239" s="21"/>
    </row>
    <row r="240" spans="2:9" ht="23.25" x14ac:dyDescent="0.25">
      <c r="B240" s="25" t="str">
        <f t="shared" si="6"/>
        <v/>
      </c>
      <c r="C240" s="25" t="str">
        <f>IF(NOT(ISBLANK(DATA2!C240)),DATA2!C240,"")</f>
        <v/>
      </c>
      <c r="D240" s="25" t="str">
        <f>IF(NOT(ISBLANK(DATA2!D240)),DATA2!D240,"")</f>
        <v/>
      </c>
      <c r="E240" s="26" t="str">
        <f>IF(ISBLANK(DATA2!E240),"",IF(ISBLANK(DATA!C240),DATA2!E240,"Flag override: " &amp; TEXT(DATA!C240, "mm/dd/yyyy hh:mm") ))</f>
        <v/>
      </c>
      <c r="F240" s="27" t="str">
        <f>IF(ISBLANK(DATA2!F240),"",IF(ISBLANK(DATA!D240),DATA2!F240,"Flag override " &amp; TEXT(DATA!D240, "mm/dd/yyyy hh:mm")))</f>
        <v/>
      </c>
      <c r="G240" s="27" t="str">
        <f>IF(DATA2!G240 = 0, "", IF(ISBLANK(DATA2!G240),"",IF(ISBLANK(DATA!E240),DATA2!G240,"Flag override " &amp; TEXT(DATA!E240,"mm/dd/yyyy hh:mm"))))</f>
        <v/>
      </c>
      <c r="H240" s="25" t="str">
        <f>IF(DATA!$G240&gt;0,TEXT(DATA!G240,"mm/dd/yyyy hh:mm"),"")</f>
        <v/>
      </c>
      <c r="I240" s="21"/>
    </row>
    <row r="241" spans="2:9" ht="23.25" x14ac:dyDescent="0.25">
      <c r="B241" s="25" t="str">
        <f t="shared" si="6"/>
        <v/>
      </c>
      <c r="C241" s="25" t="str">
        <f>IF(NOT(ISBLANK(DATA2!C241)),DATA2!C241,"")</f>
        <v/>
      </c>
      <c r="D241" s="25" t="str">
        <f>IF(NOT(ISBLANK(DATA2!D241)),DATA2!D241,"")</f>
        <v/>
      </c>
      <c r="E241" s="26" t="str">
        <f>IF(ISBLANK(DATA2!E241),"",IF(ISBLANK(DATA!C241),DATA2!E241,"Flag override: " &amp; TEXT(DATA!C241, "mm/dd/yyyy hh:mm") ))</f>
        <v/>
      </c>
      <c r="F241" s="27" t="str">
        <f>IF(ISBLANK(DATA2!F241),"",IF(ISBLANK(DATA!D241),DATA2!F241,"Flag override " &amp; TEXT(DATA!D241, "mm/dd/yyyy hh:mm")))</f>
        <v/>
      </c>
      <c r="G241" s="27" t="str">
        <f>IF(DATA2!G241 = 0, "", IF(ISBLANK(DATA2!G241),"",IF(ISBLANK(DATA!E241),DATA2!G241,"Flag override " &amp; TEXT(DATA!E241,"mm/dd/yyyy hh:mm"))))</f>
        <v/>
      </c>
      <c r="H241" s="25" t="str">
        <f>IF(DATA!$G241&gt;0,TEXT(DATA!G241,"mm/dd/yyyy hh:mm"),"")</f>
        <v/>
      </c>
      <c r="I241" s="21"/>
    </row>
    <row r="242" spans="2:9" ht="23.25" x14ac:dyDescent="0.25">
      <c r="B242" s="25" t="str">
        <f t="shared" si="6"/>
        <v/>
      </c>
      <c r="C242" s="25" t="str">
        <f>IF(NOT(ISBLANK(DATA2!C242)),DATA2!C242,"")</f>
        <v/>
      </c>
      <c r="D242" s="25" t="str">
        <f>IF(NOT(ISBLANK(DATA2!D242)),DATA2!D242,"")</f>
        <v/>
      </c>
      <c r="E242" s="26" t="str">
        <f>IF(ISBLANK(DATA2!E242),"",IF(ISBLANK(DATA!C242),DATA2!E242,"Flag override: " &amp; TEXT(DATA!C242, "mm/dd/yyyy hh:mm") ))</f>
        <v/>
      </c>
      <c r="F242" s="27" t="str">
        <f>IF(ISBLANK(DATA2!F242),"",IF(ISBLANK(DATA!D242),DATA2!F242,"Flag override " &amp; TEXT(DATA!D242, "mm/dd/yyyy hh:mm")))</f>
        <v/>
      </c>
      <c r="G242" s="27" t="str">
        <f>IF(DATA2!G242 = 0, "", IF(ISBLANK(DATA2!G242),"",IF(ISBLANK(DATA!E242),DATA2!G242,"Flag override " &amp; TEXT(DATA!E242,"mm/dd/yyyy hh:mm"))))</f>
        <v/>
      </c>
      <c r="H242" s="25" t="str">
        <f>IF(DATA!$G242&gt;0,TEXT(DATA!G242,"mm/dd/yyyy hh:mm"),"")</f>
        <v/>
      </c>
      <c r="I242" s="21"/>
    </row>
    <row r="243" spans="2:9" ht="23.25" x14ac:dyDescent="0.25">
      <c r="B243" s="25" t="str">
        <f t="shared" si="6"/>
        <v/>
      </c>
      <c r="C243" s="25" t="str">
        <f>IF(NOT(ISBLANK(DATA2!C243)),DATA2!C243,"")</f>
        <v/>
      </c>
      <c r="D243" s="25" t="str">
        <f>IF(NOT(ISBLANK(DATA2!D243)),DATA2!D243,"")</f>
        <v/>
      </c>
      <c r="E243" s="26" t="str">
        <f>IF(ISBLANK(DATA2!E243),"",IF(ISBLANK(DATA!C243),DATA2!E243,"Flag override: " &amp; TEXT(DATA!C243, "mm/dd/yyyy hh:mm") ))</f>
        <v/>
      </c>
      <c r="F243" s="27" t="str">
        <f>IF(ISBLANK(DATA2!F243),"",IF(ISBLANK(DATA!D243),DATA2!F243,"Flag override " &amp; TEXT(DATA!D243, "mm/dd/yyyy hh:mm")))</f>
        <v/>
      </c>
      <c r="G243" s="27" t="str">
        <f>IF(DATA2!G243 = 0, "", IF(ISBLANK(DATA2!G243),"",IF(ISBLANK(DATA!E243),DATA2!G243,"Flag override " &amp; TEXT(DATA!E243,"mm/dd/yyyy hh:mm"))))</f>
        <v/>
      </c>
      <c r="H243" s="25" t="str">
        <f>IF(DATA!$G243&gt;0,TEXT(DATA!G243,"mm/dd/yyyy hh:mm"),"")</f>
        <v/>
      </c>
      <c r="I243" s="21"/>
    </row>
    <row r="244" spans="2:9" ht="23.25" x14ac:dyDescent="0.25">
      <c r="B244" s="25" t="str">
        <f t="shared" si="6"/>
        <v/>
      </c>
      <c r="C244" s="25" t="str">
        <f>IF(NOT(ISBLANK(DATA2!C244)),DATA2!C244,"")</f>
        <v/>
      </c>
      <c r="D244" s="25" t="str">
        <f>IF(NOT(ISBLANK(DATA2!D244)),DATA2!D244,"")</f>
        <v/>
      </c>
      <c r="E244" s="26" t="str">
        <f>IF(ISBLANK(DATA2!E244),"",IF(ISBLANK(DATA!C244),DATA2!E244,"Flag override: " &amp; TEXT(DATA!C244, "mm/dd/yyyy hh:mm") ))</f>
        <v/>
      </c>
      <c r="F244" s="27" t="str">
        <f>IF(ISBLANK(DATA2!F244),"",IF(ISBLANK(DATA!D244),DATA2!F244,"Flag override " &amp; TEXT(DATA!D244, "mm/dd/yyyy hh:mm")))</f>
        <v/>
      </c>
      <c r="G244" s="27" t="str">
        <f>IF(DATA2!G244 = 0, "", IF(ISBLANK(DATA2!G244),"",IF(ISBLANK(DATA!E244),DATA2!G244,"Flag override " &amp; TEXT(DATA!E244,"mm/dd/yyyy hh:mm"))))</f>
        <v/>
      </c>
      <c r="H244" s="25" t="str">
        <f>IF(DATA!$G244&gt;0,TEXT(DATA!G244,"mm/dd/yyyy hh:mm"),"")</f>
        <v/>
      </c>
      <c r="I244" s="21"/>
    </row>
    <row r="245" spans="2:9" ht="23.25" x14ac:dyDescent="0.25">
      <c r="B245" s="25" t="str">
        <f t="shared" si="6"/>
        <v/>
      </c>
      <c r="C245" s="25" t="str">
        <f>IF(NOT(ISBLANK(DATA2!C245)),DATA2!C245,"")</f>
        <v/>
      </c>
      <c r="D245" s="25" t="str">
        <f>IF(NOT(ISBLANK(DATA2!D245)),DATA2!D245,"")</f>
        <v/>
      </c>
      <c r="E245" s="26" t="str">
        <f>IF(ISBLANK(DATA2!E245),"",IF(ISBLANK(DATA!C245),DATA2!E245,"Flag override: " &amp; TEXT(DATA!C245, "mm/dd/yyyy hh:mm") ))</f>
        <v/>
      </c>
      <c r="F245" s="27" t="str">
        <f>IF(ISBLANK(DATA2!F245),"",IF(ISBLANK(DATA!D245),DATA2!F245,"Flag override " &amp; TEXT(DATA!D245, "mm/dd/yyyy hh:mm")))</f>
        <v/>
      </c>
      <c r="G245" s="27" t="str">
        <f>IF(DATA2!G245 = 0, "", IF(ISBLANK(DATA2!G245),"",IF(ISBLANK(DATA!E245),DATA2!G245,"Flag override " &amp; TEXT(DATA!E245,"mm/dd/yyyy hh:mm"))))</f>
        <v/>
      </c>
      <c r="H245" s="25" t="str">
        <f>IF(DATA!$G245&gt;0,TEXT(DATA!G245,"mm/dd/yyyy hh:mm"),"")</f>
        <v/>
      </c>
      <c r="I245" s="21"/>
    </row>
    <row r="246" spans="2:9" ht="23.25" x14ac:dyDescent="0.25">
      <c r="B246" s="25" t="str">
        <f t="shared" si="6"/>
        <v/>
      </c>
      <c r="C246" s="25" t="str">
        <f>IF(NOT(ISBLANK(DATA2!C246)),DATA2!C246,"")</f>
        <v/>
      </c>
      <c r="D246" s="25" t="str">
        <f>IF(NOT(ISBLANK(DATA2!D246)),DATA2!D246,"")</f>
        <v/>
      </c>
      <c r="E246" s="26" t="str">
        <f>IF(ISBLANK(DATA2!E246),"",IF(ISBLANK(DATA!C246),DATA2!E246,"Flag override: " &amp; TEXT(DATA!C246, "mm/dd/yyyy hh:mm") ))</f>
        <v/>
      </c>
      <c r="F246" s="27" t="str">
        <f>IF(ISBLANK(DATA2!F246),"",IF(ISBLANK(DATA!D246),DATA2!F246,"Flag override " &amp; TEXT(DATA!D246, "mm/dd/yyyy hh:mm")))</f>
        <v/>
      </c>
      <c r="G246" s="27" t="str">
        <f>IF(DATA2!G246 = 0, "", IF(ISBLANK(DATA2!G246),"",IF(ISBLANK(DATA!E246),DATA2!G246,"Flag override " &amp; TEXT(DATA!E246,"mm/dd/yyyy hh:mm"))))</f>
        <v/>
      </c>
      <c r="H246" s="25" t="str">
        <f>IF(DATA!$G246&gt;0,TEXT(DATA!G246,"mm/dd/yyyy hh:mm"),"")</f>
        <v/>
      </c>
      <c r="I246" s="21"/>
    </row>
    <row r="247" spans="2:9" ht="23.25" x14ac:dyDescent="0.25">
      <c r="B247" s="25" t="str">
        <f t="shared" si="6"/>
        <v/>
      </c>
      <c r="C247" s="25" t="str">
        <f>IF(NOT(ISBLANK(DATA2!C247)),DATA2!C247,"")</f>
        <v/>
      </c>
      <c r="D247" s="25" t="str">
        <f>IF(NOT(ISBLANK(DATA2!D247)),DATA2!D247,"")</f>
        <v/>
      </c>
      <c r="E247" s="26" t="str">
        <f>IF(ISBLANK(DATA2!E247),"",IF(ISBLANK(DATA!C247),DATA2!E247,"Flag override: " &amp; TEXT(DATA!C247, "mm/dd/yyyy hh:mm") ))</f>
        <v/>
      </c>
      <c r="F247" s="27" t="str">
        <f>IF(ISBLANK(DATA2!F247),"",IF(ISBLANK(DATA!D247),DATA2!F247,"Flag override " &amp; TEXT(DATA!D247, "mm/dd/yyyy hh:mm")))</f>
        <v/>
      </c>
      <c r="G247" s="27" t="str">
        <f>IF(DATA2!G247 = 0, "", IF(ISBLANK(DATA2!G247),"",IF(ISBLANK(DATA!E247),DATA2!G247,"Flag override " &amp; TEXT(DATA!E247,"mm/dd/yyyy hh:mm"))))</f>
        <v/>
      </c>
      <c r="H247" s="25" t="str">
        <f>IF(DATA!$G247&gt;0,TEXT(DATA!G247,"mm/dd/yyyy hh:mm"),"")</f>
        <v/>
      </c>
      <c r="I247" s="21"/>
    </row>
    <row r="248" spans="2:9" ht="23.25" x14ac:dyDescent="0.25">
      <c r="B248" s="25" t="str">
        <f t="shared" si="6"/>
        <v/>
      </c>
      <c r="C248" s="25" t="str">
        <f>IF(NOT(ISBLANK(DATA2!C248)),DATA2!C248,"")</f>
        <v/>
      </c>
      <c r="D248" s="25" t="str">
        <f>IF(NOT(ISBLANK(DATA2!D248)),DATA2!D248,"")</f>
        <v/>
      </c>
      <c r="E248" s="26" t="str">
        <f>IF(ISBLANK(DATA2!E248),"",IF(ISBLANK(DATA!C248),DATA2!E248,"Flag override: " &amp; TEXT(DATA!C248, "mm/dd/yyyy hh:mm") ))</f>
        <v/>
      </c>
      <c r="F248" s="27" t="str">
        <f>IF(ISBLANK(DATA2!F248),"",IF(ISBLANK(DATA!D248),DATA2!F248,"Flag override " &amp; TEXT(DATA!D248, "mm/dd/yyyy hh:mm")))</f>
        <v/>
      </c>
      <c r="G248" s="27" t="str">
        <f>IF(DATA2!G248 = 0, "", IF(ISBLANK(DATA2!G248),"",IF(ISBLANK(DATA!E248),DATA2!G248,"Flag override " &amp; TEXT(DATA!E248,"mm/dd/yyyy hh:mm"))))</f>
        <v/>
      </c>
      <c r="H248" s="25" t="str">
        <f>IF(DATA!$G248&gt;0,TEXT(DATA!G248,"mm/dd/yyyy hh:mm"),"")</f>
        <v/>
      </c>
      <c r="I248" s="21"/>
    </row>
    <row r="249" spans="2:9" ht="23.25" x14ac:dyDescent="0.25">
      <c r="B249" s="25" t="str">
        <f t="shared" si="6"/>
        <v/>
      </c>
      <c r="C249" s="25" t="str">
        <f>IF(NOT(ISBLANK(DATA2!C249)),DATA2!C249,"")</f>
        <v/>
      </c>
      <c r="D249" s="25" t="str">
        <f>IF(NOT(ISBLANK(DATA2!D249)),DATA2!D249,"")</f>
        <v/>
      </c>
      <c r="E249" s="26" t="str">
        <f>IF(ISBLANK(DATA2!E249),"",IF(ISBLANK(DATA!C249),DATA2!E249,"Flag override: " &amp; TEXT(DATA!C249, "mm/dd/yyyy hh:mm") ))</f>
        <v/>
      </c>
      <c r="F249" s="27" t="str">
        <f>IF(ISBLANK(DATA2!F249),"",IF(ISBLANK(DATA!D249),DATA2!F249,"Flag override " &amp; TEXT(DATA!D249, "mm/dd/yyyy hh:mm")))</f>
        <v/>
      </c>
      <c r="G249" s="27" t="str">
        <f>IF(DATA2!G249 = 0, "", IF(ISBLANK(DATA2!G249),"",IF(ISBLANK(DATA!E249),DATA2!G249,"Flag override " &amp; TEXT(DATA!E249,"mm/dd/yyyy hh:mm"))))</f>
        <v/>
      </c>
      <c r="H249" s="25" t="str">
        <f>IF(DATA!$G249&gt;0,TEXT(DATA!G249,"mm/dd/yyyy hh:mm"),"")</f>
        <v/>
      </c>
      <c r="I249" s="21"/>
    </row>
    <row r="250" spans="2:9" ht="23.25" x14ac:dyDescent="0.25">
      <c r="B250" s="25" t="str">
        <f t="shared" si="6"/>
        <v/>
      </c>
      <c r="C250" s="25" t="str">
        <f>IF(NOT(ISBLANK(DATA2!C250)),DATA2!C250,"")</f>
        <v/>
      </c>
      <c r="D250" s="25" t="str">
        <f>IF(NOT(ISBLANK(DATA2!D250)),DATA2!D250,"")</f>
        <v/>
      </c>
      <c r="E250" s="26" t="str">
        <f>IF(ISBLANK(DATA2!E250),"",IF(ISBLANK(DATA!C250),DATA2!E250,"Flag override: " &amp; TEXT(DATA!C250, "mm/dd/yyyy hh:mm") ))</f>
        <v/>
      </c>
      <c r="F250" s="27" t="str">
        <f>IF(ISBLANK(DATA2!F250),"",IF(ISBLANK(DATA!D250),DATA2!F250,"Flag override " &amp; TEXT(DATA!D250, "mm/dd/yyyy hh:mm")))</f>
        <v/>
      </c>
      <c r="G250" s="27" t="str">
        <f>IF(DATA2!G250 = 0, "", IF(ISBLANK(DATA2!G250),"",IF(ISBLANK(DATA!E250),DATA2!G250,"Flag override " &amp; TEXT(DATA!E250,"mm/dd/yyyy hh:mm"))))</f>
        <v/>
      </c>
      <c r="H250" s="25" t="str">
        <f>IF(DATA!$G250&gt;0,TEXT(DATA!G250,"mm/dd/yyyy hh:mm"),"")</f>
        <v/>
      </c>
      <c r="I250" s="21"/>
    </row>
    <row r="251" spans="2:9" ht="23.25" x14ac:dyDescent="0.25">
      <c r="B251" s="25" t="str">
        <f t="shared" si="6"/>
        <v/>
      </c>
      <c r="C251" s="25" t="str">
        <f>IF(NOT(ISBLANK(DATA2!C251)),DATA2!C251,"")</f>
        <v/>
      </c>
      <c r="D251" s="25" t="str">
        <f>IF(NOT(ISBLANK(DATA2!D251)),DATA2!D251,"")</f>
        <v/>
      </c>
      <c r="E251" s="26" t="str">
        <f>IF(ISBLANK(DATA2!E251),"",IF(ISBLANK(DATA!C251),DATA2!E251,"Flag override: " &amp; TEXT(DATA!C251, "mm/dd/yyyy hh:mm") ))</f>
        <v/>
      </c>
      <c r="F251" s="27" t="str">
        <f>IF(ISBLANK(DATA2!F251),"",IF(ISBLANK(DATA!D251),DATA2!F251,"Flag override " &amp; TEXT(DATA!D251, "mm/dd/yyyy hh:mm")))</f>
        <v/>
      </c>
      <c r="G251" s="27" t="str">
        <f>IF(DATA2!G251 = 0, "", IF(ISBLANK(DATA2!G251),"",IF(ISBLANK(DATA!E251),DATA2!G251,"Flag override " &amp; TEXT(DATA!E251,"mm/dd/yyyy hh:mm"))))</f>
        <v/>
      </c>
      <c r="H251" s="25" t="str">
        <f>IF(DATA!$G251&gt;0,TEXT(DATA!G251,"mm/dd/yyyy hh:mm"),"")</f>
        <v/>
      </c>
      <c r="I251" s="21"/>
    </row>
    <row r="252" spans="2:9" ht="23.25" x14ac:dyDescent="0.25">
      <c r="B252" s="25" t="str">
        <f t="shared" si="6"/>
        <v/>
      </c>
      <c r="C252" s="25" t="str">
        <f>IF(NOT(ISBLANK(DATA2!C252)),DATA2!C252,"")</f>
        <v/>
      </c>
      <c r="D252" s="25" t="str">
        <f>IF(NOT(ISBLANK(DATA2!D252)),DATA2!D252,"")</f>
        <v/>
      </c>
      <c r="E252" s="26" t="str">
        <f>IF(ISBLANK(DATA2!E252),"",IF(ISBLANK(DATA!C252),DATA2!E252,"Flag override: " &amp; TEXT(DATA!C252, "mm/dd/yyyy hh:mm") ))</f>
        <v/>
      </c>
      <c r="F252" s="27" t="str">
        <f>IF(ISBLANK(DATA2!F252),"",IF(ISBLANK(DATA!D252),DATA2!F252,"Flag override " &amp; TEXT(DATA!D252, "mm/dd/yyyy hh:mm")))</f>
        <v/>
      </c>
      <c r="G252" s="27" t="str">
        <f>IF(DATA2!G252 = 0, "", IF(ISBLANK(DATA2!G252),"",IF(ISBLANK(DATA!E252),DATA2!G252,"Flag override " &amp; TEXT(DATA!E252,"mm/dd/yyyy hh:mm"))))</f>
        <v/>
      </c>
      <c r="H252" s="25" t="str">
        <f>IF(DATA!$G252&gt;0,TEXT(DATA!G252,"mm/dd/yyyy hh:mm"),"")</f>
        <v/>
      </c>
      <c r="I252" s="21"/>
    </row>
    <row r="253" spans="2:9" ht="23.25" x14ac:dyDescent="0.25">
      <c r="B253" s="25" t="str">
        <f t="shared" si="6"/>
        <v/>
      </c>
      <c r="C253" s="25" t="str">
        <f>IF(NOT(ISBLANK(DATA2!C253)),DATA2!C253,"")</f>
        <v/>
      </c>
      <c r="D253" s="25" t="str">
        <f>IF(NOT(ISBLANK(DATA2!D253)),DATA2!D253,"")</f>
        <v/>
      </c>
      <c r="E253" s="26" t="str">
        <f>IF(ISBLANK(DATA2!E253),"",IF(ISBLANK(DATA!C253),DATA2!E253,"Flag override: " &amp; TEXT(DATA!C253, "mm/dd/yyyy hh:mm") ))</f>
        <v/>
      </c>
      <c r="F253" s="27" t="str">
        <f>IF(ISBLANK(DATA2!F253),"",IF(ISBLANK(DATA!D253),DATA2!F253,"Flag override " &amp; TEXT(DATA!D253, "mm/dd/yyyy hh:mm")))</f>
        <v/>
      </c>
      <c r="G253" s="27" t="str">
        <f>IF(DATA2!G253 = 0, "", IF(ISBLANK(DATA2!G253),"",IF(ISBLANK(DATA!E253),DATA2!G253,"Flag override " &amp; TEXT(DATA!E253,"mm/dd/yyyy hh:mm"))))</f>
        <v/>
      </c>
      <c r="H253" s="25" t="str">
        <f>IF(DATA!$G253&gt;0,TEXT(DATA!G253,"mm/dd/yyyy hh:mm"),"")</f>
        <v/>
      </c>
      <c r="I253" s="21"/>
    </row>
    <row r="254" spans="2:9" ht="23.25" x14ac:dyDescent="0.25">
      <c r="B254" s="25" t="str">
        <f t="shared" si="6"/>
        <v/>
      </c>
      <c r="C254" s="25" t="str">
        <f>IF(NOT(ISBLANK(DATA2!C254)),DATA2!C254,"")</f>
        <v/>
      </c>
      <c r="D254" s="25" t="str">
        <f>IF(NOT(ISBLANK(DATA2!D254)),DATA2!D254,"")</f>
        <v/>
      </c>
      <c r="E254" s="26" t="str">
        <f>IF(ISBLANK(DATA2!E254),"",IF(ISBLANK(DATA!C254),DATA2!E254,"Flag override: " &amp; TEXT(DATA!C254, "mm/dd/yyyy hh:mm") ))</f>
        <v/>
      </c>
      <c r="F254" s="27" t="str">
        <f>IF(ISBLANK(DATA2!F254),"",IF(ISBLANK(DATA!D254),DATA2!F254,"Flag override " &amp; TEXT(DATA!D254, "mm/dd/yyyy hh:mm")))</f>
        <v/>
      </c>
      <c r="G254" s="27" t="str">
        <f>IF(DATA2!G254 = 0, "", IF(ISBLANK(DATA2!G254),"",IF(ISBLANK(DATA!E254),DATA2!G254,"Flag override " &amp; TEXT(DATA!E254,"mm/dd/yyyy hh:mm"))))</f>
        <v/>
      </c>
      <c r="H254" s="25" t="str">
        <f>IF(DATA!$G254&gt;0,TEXT(DATA!G254,"mm/dd/yyyy hh:mm"),"")</f>
        <v/>
      </c>
      <c r="I254" s="21"/>
    </row>
    <row r="255" spans="2:9" ht="23.25" x14ac:dyDescent="0.25">
      <c r="B255" s="25" t="str">
        <f t="shared" si="6"/>
        <v/>
      </c>
      <c r="C255" s="25" t="str">
        <f>IF(NOT(ISBLANK(DATA2!C255)),DATA2!C255,"")</f>
        <v/>
      </c>
      <c r="D255" s="25" t="str">
        <f>IF(NOT(ISBLANK(DATA2!D255)),DATA2!D255,"")</f>
        <v/>
      </c>
      <c r="E255" s="26" t="str">
        <f>IF(ISBLANK(DATA2!E255),"",IF(ISBLANK(DATA!C255),DATA2!E255,"Flag override: " &amp; TEXT(DATA!C255, "mm/dd/yyyy hh:mm") ))</f>
        <v/>
      </c>
      <c r="F255" s="27" t="str">
        <f>IF(ISBLANK(DATA2!F255),"",IF(ISBLANK(DATA!D255),DATA2!F255,"Flag override " &amp; TEXT(DATA!D255, "mm/dd/yyyy hh:mm")))</f>
        <v/>
      </c>
      <c r="G255" s="27" t="str">
        <f>IF(DATA2!G255 = 0, "", IF(ISBLANK(DATA2!G255),"",IF(ISBLANK(DATA!E255),DATA2!G255,"Flag override " &amp; TEXT(DATA!E255,"mm/dd/yyyy hh:mm"))))</f>
        <v/>
      </c>
      <c r="H255" s="25" t="str">
        <f>IF(DATA!$G255&gt;0,TEXT(DATA!G255,"mm/dd/yyyy hh:mm"),"")</f>
        <v/>
      </c>
      <c r="I255" s="21"/>
    </row>
    <row r="256" spans="2:9" ht="23.25" x14ac:dyDescent="0.25">
      <c r="B256" s="25" t="str">
        <f t="shared" si="6"/>
        <v/>
      </c>
      <c r="C256" s="25" t="str">
        <f>IF(NOT(ISBLANK(DATA2!C256)),DATA2!C256,"")</f>
        <v/>
      </c>
      <c r="D256" s="25" t="str">
        <f>IF(NOT(ISBLANK(DATA2!D256)),DATA2!D256,"")</f>
        <v/>
      </c>
      <c r="E256" s="26" t="str">
        <f>IF(ISBLANK(DATA2!E256),"",IF(ISBLANK(DATA!C256),DATA2!E256,"Flag override: " &amp; TEXT(DATA!C256, "mm/dd/yyyy hh:mm") ))</f>
        <v/>
      </c>
      <c r="F256" s="27" t="str">
        <f>IF(ISBLANK(DATA2!F256),"",IF(ISBLANK(DATA!D256),DATA2!F256,"Flag override " &amp; TEXT(DATA!D256, "mm/dd/yyyy hh:mm")))</f>
        <v/>
      </c>
      <c r="G256" s="27" t="str">
        <f>IF(DATA2!G256 = 0, "", IF(ISBLANK(DATA2!G256),"",IF(ISBLANK(DATA!E256),DATA2!G256,"Flag override " &amp; TEXT(DATA!E256,"mm/dd/yyyy hh:mm"))))</f>
        <v/>
      </c>
      <c r="H256" s="25" t="str">
        <f>IF(DATA!$G256&gt;0,TEXT(DATA!G256,"mm/dd/yyyy hh:mm"),"")</f>
        <v/>
      </c>
      <c r="I256" s="21"/>
    </row>
    <row r="257" spans="2:9" ht="23.25" x14ac:dyDescent="0.25">
      <c r="B257" s="25" t="str">
        <f t="shared" si="6"/>
        <v/>
      </c>
      <c r="C257" s="25" t="str">
        <f>IF(NOT(ISBLANK(DATA2!C257)),DATA2!C257,"")</f>
        <v/>
      </c>
      <c r="D257" s="25" t="str">
        <f>IF(NOT(ISBLANK(DATA2!D257)),DATA2!D257,"")</f>
        <v/>
      </c>
      <c r="E257" s="26" t="str">
        <f>IF(ISBLANK(DATA2!E257),"",IF(ISBLANK(DATA!C257),DATA2!E257,"Flag override: " &amp; TEXT(DATA!C257, "mm/dd/yyyy hh:mm") ))</f>
        <v/>
      </c>
      <c r="F257" s="27" t="str">
        <f>IF(ISBLANK(DATA2!F257),"",IF(ISBLANK(DATA!D257),DATA2!F257,"Flag override " &amp; TEXT(DATA!D257, "mm/dd/yyyy hh:mm")))</f>
        <v/>
      </c>
      <c r="G257" s="27" t="str">
        <f>IF(DATA2!G257 = 0, "", IF(ISBLANK(DATA2!G257),"",IF(ISBLANK(DATA!E257),DATA2!G257,"Flag override " &amp; TEXT(DATA!E257,"mm/dd/yyyy hh:mm"))))</f>
        <v/>
      </c>
      <c r="H257" s="25" t="str">
        <f>IF(DATA!$G257&gt;0,TEXT(DATA!G257,"mm/dd/yyyy hh:mm"),"")</f>
        <v/>
      </c>
      <c r="I257" s="21"/>
    </row>
    <row r="258" spans="2:9" ht="23.25" x14ac:dyDescent="0.25">
      <c r="B258" s="25" t="str">
        <f t="shared" si="6"/>
        <v/>
      </c>
      <c r="C258" s="25" t="str">
        <f>IF(NOT(ISBLANK(DATA2!C258)),DATA2!C258,"")</f>
        <v/>
      </c>
      <c r="D258" s="25" t="str">
        <f>IF(NOT(ISBLANK(DATA2!D258)),DATA2!D258,"")</f>
        <v/>
      </c>
      <c r="E258" s="26" t="str">
        <f>IF(ISBLANK(DATA2!E258),"",IF(ISBLANK(DATA!C258),DATA2!E258,"Flag override: " &amp; TEXT(DATA!C258, "mm/dd/yyyy hh:mm") ))</f>
        <v/>
      </c>
      <c r="F258" s="27" t="str">
        <f>IF(ISBLANK(DATA2!F258),"",IF(ISBLANK(DATA!D258),DATA2!F258,"Flag override " &amp; TEXT(DATA!D258, "mm/dd/yyyy hh:mm")))</f>
        <v/>
      </c>
      <c r="G258" s="27" t="str">
        <f>IF(DATA2!G258 = 0, "", IF(ISBLANK(DATA2!G258),"",IF(ISBLANK(DATA!E258),DATA2!G258,"Flag override " &amp; TEXT(DATA!E258,"mm/dd/yyyy hh:mm"))))</f>
        <v/>
      </c>
      <c r="H258" s="25" t="str">
        <f>IF(DATA!$G258&gt;0,TEXT(DATA!G258,"mm/dd/yyyy hh:mm"),"")</f>
        <v/>
      </c>
      <c r="I258" s="21"/>
    </row>
    <row r="259" spans="2:9" ht="23.25" x14ac:dyDescent="0.25">
      <c r="B259" s="25" t="str">
        <f t="shared" si="6"/>
        <v/>
      </c>
      <c r="C259" s="25" t="str">
        <f>IF(NOT(ISBLANK(DATA2!C259)),DATA2!C259,"")</f>
        <v/>
      </c>
      <c r="D259" s="25" t="str">
        <f>IF(NOT(ISBLANK(DATA2!D259)),DATA2!D259,"")</f>
        <v/>
      </c>
      <c r="E259" s="26" t="str">
        <f>IF(ISBLANK(DATA2!E259),"",IF(ISBLANK(DATA!C259),DATA2!E259,"Flag override: " &amp; TEXT(DATA!C259, "mm/dd/yyyy hh:mm") ))</f>
        <v/>
      </c>
      <c r="F259" s="27" t="str">
        <f>IF(ISBLANK(DATA2!F259),"",IF(ISBLANK(DATA!D259),DATA2!F259,"Flag override " &amp; TEXT(DATA!D259, "mm/dd/yyyy hh:mm")))</f>
        <v/>
      </c>
      <c r="G259" s="27" t="str">
        <f>IF(DATA2!G259 = 0, "", IF(ISBLANK(DATA2!G259),"",IF(ISBLANK(DATA!E259),DATA2!G259,"Flag override " &amp; TEXT(DATA!E259,"mm/dd/yyyy hh:mm"))))</f>
        <v/>
      </c>
      <c r="H259" s="25" t="str">
        <f>IF(DATA!$G259&gt;0,TEXT(DATA!G259,"mm/dd/yyyy hh:mm"),"")</f>
        <v/>
      </c>
      <c r="I259" s="21"/>
    </row>
    <row r="260" spans="2:9" ht="23.25" x14ac:dyDescent="0.25">
      <c r="B260" s="25" t="str">
        <f t="shared" si="6"/>
        <v/>
      </c>
      <c r="C260" s="25" t="str">
        <f>IF(NOT(ISBLANK(DATA2!C260)),DATA2!C260,"")</f>
        <v/>
      </c>
      <c r="D260" s="25" t="str">
        <f>IF(NOT(ISBLANK(DATA2!D260)),DATA2!D260,"")</f>
        <v/>
      </c>
      <c r="E260" s="26" t="str">
        <f>IF(ISBLANK(DATA2!E260),"",IF(ISBLANK(DATA!C260),DATA2!E260,"Flag override: " &amp; TEXT(DATA!C260, "mm/dd/yyyy hh:mm") ))</f>
        <v/>
      </c>
      <c r="F260" s="27" t="str">
        <f>IF(ISBLANK(DATA2!F260),"",IF(ISBLANK(DATA!D260),DATA2!F260,"Flag override " &amp; TEXT(DATA!D260, "mm/dd/yyyy hh:mm")))</f>
        <v/>
      </c>
      <c r="G260" s="27" t="str">
        <f>IF(DATA2!G260 = 0, "", IF(ISBLANK(DATA2!G260),"",IF(ISBLANK(DATA!E260),DATA2!G260,"Flag override " &amp; TEXT(DATA!E260,"mm/dd/yyyy hh:mm"))))</f>
        <v/>
      </c>
      <c r="H260" s="25" t="str">
        <f>IF(DATA!$G260&gt;0,TEXT(DATA!G260,"mm/dd/yyyy hh:mm"),"")</f>
        <v/>
      </c>
      <c r="I260" s="21"/>
    </row>
    <row r="261" spans="2:9" ht="23.25" x14ac:dyDescent="0.25">
      <c r="B261" s="25" t="str">
        <f t="shared" si="6"/>
        <v/>
      </c>
      <c r="C261" s="25" t="str">
        <f>IF(NOT(ISBLANK(DATA2!C261)),DATA2!C261,"")</f>
        <v/>
      </c>
      <c r="D261" s="25" t="str">
        <f>IF(NOT(ISBLANK(DATA2!D261)),DATA2!D261,"")</f>
        <v/>
      </c>
      <c r="E261" s="26" t="str">
        <f>IF(ISBLANK(DATA2!E261),"",IF(ISBLANK(DATA!C261),DATA2!E261,"Flag override: " &amp; TEXT(DATA!C261, "mm/dd/yyyy hh:mm") ))</f>
        <v/>
      </c>
      <c r="F261" s="27" t="str">
        <f>IF(ISBLANK(DATA2!F261),"",IF(ISBLANK(DATA!D261),DATA2!F261,"Flag override " &amp; TEXT(DATA!D261, "mm/dd/yyyy hh:mm")))</f>
        <v/>
      </c>
      <c r="G261" s="27" t="str">
        <f>IF(DATA2!G261 = 0, "", IF(ISBLANK(DATA2!G261),"",IF(ISBLANK(DATA!E261),DATA2!G261,"Flag override " &amp; TEXT(DATA!E261,"mm/dd/yyyy hh:mm"))))</f>
        <v/>
      </c>
      <c r="H261" s="25" t="str">
        <f>IF(DATA!$G261&gt;0,TEXT(DATA!G261,"mm/dd/yyyy hh:mm"),"")</f>
        <v/>
      </c>
      <c r="I261" s="21"/>
    </row>
    <row r="262" spans="2:9" ht="23.25" x14ac:dyDescent="0.25">
      <c r="B262" s="25" t="str">
        <f t="shared" si="6"/>
        <v/>
      </c>
      <c r="C262" s="25" t="str">
        <f>IF(NOT(ISBLANK(DATA2!C262)),DATA2!C262,"")</f>
        <v/>
      </c>
      <c r="D262" s="25" t="str">
        <f>IF(NOT(ISBLANK(DATA2!D262)),DATA2!D262,"")</f>
        <v/>
      </c>
      <c r="E262" s="26" t="str">
        <f>IF(ISBLANK(DATA2!E262),"",IF(ISBLANK(DATA!C262),DATA2!E262,"Flag override: " &amp; TEXT(DATA!C262, "mm/dd/yyyy hh:mm") ))</f>
        <v/>
      </c>
      <c r="F262" s="27" t="str">
        <f>IF(ISBLANK(DATA2!F262),"",IF(ISBLANK(DATA!D262),DATA2!F262,"Flag override " &amp; TEXT(DATA!D262, "mm/dd/yyyy hh:mm")))</f>
        <v/>
      </c>
      <c r="G262" s="27" t="str">
        <f>IF(DATA2!G262 = 0, "", IF(ISBLANK(DATA2!G262),"",IF(ISBLANK(DATA!E262),DATA2!G262,"Flag override " &amp; TEXT(DATA!E262,"mm/dd/yyyy hh:mm"))))</f>
        <v/>
      </c>
      <c r="H262" s="25" t="str">
        <f>IF(DATA!$G262&gt;0,TEXT(DATA!G262,"mm/dd/yyyy hh:mm"),"")</f>
        <v/>
      </c>
      <c r="I262" s="21"/>
    </row>
    <row r="263" spans="2:9" ht="23.25" x14ac:dyDescent="0.25">
      <c r="B263" s="25" t="str">
        <f t="shared" si="6"/>
        <v/>
      </c>
      <c r="C263" s="25" t="str">
        <f>IF(NOT(ISBLANK(DATA2!C263)),DATA2!C263,"")</f>
        <v/>
      </c>
      <c r="D263" s="25" t="str">
        <f>IF(NOT(ISBLANK(DATA2!D263)),DATA2!D263,"")</f>
        <v/>
      </c>
      <c r="E263" s="26" t="str">
        <f>IF(ISBLANK(DATA2!E263),"",IF(ISBLANK(DATA!C263),DATA2!E263,"Flag override: " &amp; TEXT(DATA!C263, "mm/dd/yyyy hh:mm") ))</f>
        <v/>
      </c>
      <c r="F263" s="27" t="str">
        <f>IF(ISBLANK(DATA2!F263),"",IF(ISBLANK(DATA!D263),DATA2!F263,"Flag override " &amp; TEXT(DATA!D263, "mm/dd/yyyy hh:mm")))</f>
        <v/>
      </c>
      <c r="G263" s="27" t="str">
        <f>IF(DATA2!G263 = 0, "", IF(ISBLANK(DATA2!G263),"",IF(ISBLANK(DATA!E263),DATA2!G263,"Flag override " &amp; TEXT(DATA!E263,"mm/dd/yyyy hh:mm"))))</f>
        <v/>
      </c>
      <c r="H263" s="25" t="str">
        <f>IF(DATA!$G263&gt;0,TEXT(DATA!G263,"mm/dd/yyyy hh:mm"),"")</f>
        <v/>
      </c>
      <c r="I263" s="21"/>
    </row>
    <row r="264" spans="2:9" ht="23.25" x14ac:dyDescent="0.25">
      <c r="B264" s="25" t="str">
        <f t="shared" si="6"/>
        <v/>
      </c>
      <c r="C264" s="25" t="str">
        <f>IF(NOT(ISBLANK(DATA2!C264)),DATA2!C264,"")</f>
        <v/>
      </c>
      <c r="D264" s="25" t="str">
        <f>IF(NOT(ISBLANK(DATA2!D264)),DATA2!D264,"")</f>
        <v/>
      </c>
      <c r="E264" s="26" t="str">
        <f>IF(ISBLANK(DATA2!E264),"",IF(ISBLANK(DATA!C264),DATA2!E264,"Flag override: " &amp; TEXT(DATA!C264, "mm/dd/yyyy hh:mm") ))</f>
        <v/>
      </c>
      <c r="F264" s="27" t="str">
        <f>IF(ISBLANK(DATA2!F264),"",IF(ISBLANK(DATA!D264),DATA2!F264,"Flag override " &amp; TEXT(DATA!D264, "mm/dd/yyyy hh:mm")))</f>
        <v/>
      </c>
      <c r="G264" s="27" t="str">
        <f>IF(DATA2!G264 = 0, "", IF(ISBLANK(DATA2!G264),"",IF(ISBLANK(DATA!E264),DATA2!G264,"Flag override " &amp; TEXT(DATA!E264,"mm/dd/yyyy hh:mm"))))</f>
        <v/>
      </c>
      <c r="H264" s="25" t="str">
        <f>IF(DATA!$G264&gt;0,TEXT(DATA!G264,"mm/dd/yyyy hh:mm"),"")</f>
        <v/>
      </c>
      <c r="I264" s="21"/>
    </row>
    <row r="265" spans="2:9" ht="23.25" x14ac:dyDescent="0.25">
      <c r="B265" s="25" t="str">
        <f t="shared" ref="B265:B328" si="7">IF(LEN(C265)&lt;1,"",IF(NOT(_xlfn.ISFORMULA(B264)),1,B264+1))</f>
        <v/>
      </c>
      <c r="C265" s="25" t="str">
        <f>IF(NOT(ISBLANK(DATA2!C265)),DATA2!C265,"")</f>
        <v/>
      </c>
      <c r="D265" s="25" t="str">
        <f>IF(NOT(ISBLANK(DATA2!D265)),DATA2!D265,"")</f>
        <v/>
      </c>
      <c r="E265" s="26" t="str">
        <f>IF(ISBLANK(DATA2!E265),"",IF(ISBLANK(DATA!C265),DATA2!E265,"Flag override: " &amp; TEXT(DATA!C265, "mm/dd/yyyy hh:mm") ))</f>
        <v/>
      </c>
      <c r="F265" s="27" t="str">
        <f>IF(ISBLANK(DATA2!F265),"",IF(ISBLANK(DATA!D265),DATA2!F265,"Flag override " &amp; TEXT(DATA!D265, "mm/dd/yyyy hh:mm")))</f>
        <v/>
      </c>
      <c r="G265" s="27" t="str">
        <f>IF(DATA2!G265 = 0, "", IF(ISBLANK(DATA2!G265),"",IF(ISBLANK(DATA!E265),DATA2!G265,"Flag override " &amp; TEXT(DATA!E265,"mm/dd/yyyy hh:mm"))))</f>
        <v/>
      </c>
      <c r="H265" s="25" t="str">
        <f>IF(DATA!$G265&gt;0,TEXT(DATA!G265,"mm/dd/yyyy hh:mm"),"")</f>
        <v/>
      </c>
      <c r="I265" s="21"/>
    </row>
    <row r="266" spans="2:9" ht="23.25" x14ac:dyDescent="0.25">
      <c r="B266" s="25" t="str">
        <f t="shared" si="7"/>
        <v/>
      </c>
      <c r="C266" s="25" t="str">
        <f>IF(NOT(ISBLANK(DATA2!C266)),DATA2!C266,"")</f>
        <v/>
      </c>
      <c r="D266" s="25" t="str">
        <f>IF(NOT(ISBLANK(DATA2!D266)),DATA2!D266,"")</f>
        <v/>
      </c>
      <c r="E266" s="26" t="str">
        <f>IF(ISBLANK(DATA2!E266),"",IF(ISBLANK(DATA!C266),DATA2!E266,"Flag override: " &amp; TEXT(DATA!C266, "mm/dd/yyyy hh:mm") ))</f>
        <v/>
      </c>
      <c r="F266" s="27" t="str">
        <f>IF(ISBLANK(DATA2!F266),"",IF(ISBLANK(DATA!D266),DATA2!F266,"Flag override " &amp; TEXT(DATA!D266, "mm/dd/yyyy hh:mm")))</f>
        <v/>
      </c>
      <c r="G266" s="27" t="str">
        <f>IF(DATA2!G266 = 0, "", IF(ISBLANK(DATA2!G266),"",IF(ISBLANK(DATA!E266),DATA2!G266,"Flag override " &amp; TEXT(DATA!E266,"mm/dd/yyyy hh:mm"))))</f>
        <v/>
      </c>
      <c r="H266" s="25" t="str">
        <f>IF(DATA!$G266&gt;0,TEXT(DATA!G266,"mm/dd/yyyy hh:mm"),"")</f>
        <v/>
      </c>
      <c r="I266" s="21"/>
    </row>
    <row r="267" spans="2:9" ht="23.25" x14ac:dyDescent="0.25">
      <c r="B267" s="25" t="str">
        <f t="shared" si="7"/>
        <v/>
      </c>
      <c r="C267" s="25" t="str">
        <f>IF(NOT(ISBLANK(DATA2!C267)),DATA2!C267,"")</f>
        <v/>
      </c>
      <c r="D267" s="25" t="str">
        <f>IF(NOT(ISBLANK(DATA2!D267)),DATA2!D267,"")</f>
        <v/>
      </c>
      <c r="E267" s="26" t="str">
        <f>IF(ISBLANK(DATA2!E267),"",IF(ISBLANK(DATA!C267),DATA2!E267,"Flag override: " &amp; TEXT(DATA!C267, "mm/dd/yyyy hh:mm") ))</f>
        <v/>
      </c>
      <c r="F267" s="27" t="str">
        <f>IF(ISBLANK(DATA2!F267),"",IF(ISBLANK(DATA!D267),DATA2!F267,"Flag override " &amp; TEXT(DATA!D267, "mm/dd/yyyy hh:mm")))</f>
        <v/>
      </c>
      <c r="G267" s="27" t="str">
        <f>IF(DATA2!G267 = 0, "", IF(ISBLANK(DATA2!G267),"",IF(ISBLANK(DATA!E267),DATA2!G267,"Flag override " &amp; TEXT(DATA!E267,"mm/dd/yyyy hh:mm"))))</f>
        <v/>
      </c>
      <c r="H267" s="25" t="str">
        <f>IF(DATA!$G267&gt;0,TEXT(DATA!G267,"mm/dd/yyyy hh:mm"),"")</f>
        <v/>
      </c>
      <c r="I267" s="21"/>
    </row>
    <row r="268" spans="2:9" ht="23.25" x14ac:dyDescent="0.25">
      <c r="B268" s="25" t="str">
        <f t="shared" si="7"/>
        <v/>
      </c>
      <c r="C268" s="25" t="str">
        <f>IF(NOT(ISBLANK(DATA2!C268)),DATA2!C268,"")</f>
        <v/>
      </c>
      <c r="D268" s="25" t="str">
        <f>IF(NOT(ISBLANK(DATA2!D268)),DATA2!D268,"")</f>
        <v/>
      </c>
      <c r="E268" s="26" t="str">
        <f>IF(ISBLANK(DATA2!E268),"",IF(ISBLANK(DATA!C268),DATA2!E268,"Flag override: " &amp; TEXT(DATA!C268, "mm/dd/yyyy hh:mm") ))</f>
        <v/>
      </c>
      <c r="F268" s="27" t="str">
        <f>IF(ISBLANK(DATA2!F268),"",IF(ISBLANK(DATA!D268),DATA2!F268,"Flag override " &amp; TEXT(DATA!D268, "mm/dd/yyyy hh:mm")))</f>
        <v/>
      </c>
      <c r="G268" s="27" t="str">
        <f>IF(DATA2!G268 = 0, "", IF(ISBLANK(DATA2!G268),"",IF(ISBLANK(DATA!E268),DATA2!G268,"Flag override " &amp; TEXT(DATA!E268,"mm/dd/yyyy hh:mm"))))</f>
        <v/>
      </c>
      <c r="H268" s="25" t="str">
        <f>IF(DATA!$G268&gt;0,TEXT(DATA!G268,"mm/dd/yyyy hh:mm"),"")</f>
        <v/>
      </c>
      <c r="I268" s="21"/>
    </row>
    <row r="269" spans="2:9" ht="23.25" x14ac:dyDescent="0.25">
      <c r="B269" s="25" t="str">
        <f t="shared" si="7"/>
        <v/>
      </c>
      <c r="C269" s="25" t="str">
        <f>IF(NOT(ISBLANK(DATA2!C269)),DATA2!C269,"")</f>
        <v/>
      </c>
      <c r="D269" s="25" t="str">
        <f>IF(NOT(ISBLANK(DATA2!D269)),DATA2!D269,"")</f>
        <v/>
      </c>
      <c r="E269" s="26" t="str">
        <f>IF(ISBLANK(DATA2!E269),"",IF(ISBLANK(DATA!C269),DATA2!E269,"Flag override: " &amp; TEXT(DATA!C269, "mm/dd/yyyy hh:mm") ))</f>
        <v/>
      </c>
      <c r="F269" s="27" t="str">
        <f>IF(ISBLANK(DATA2!F269),"",IF(ISBLANK(DATA!D269),DATA2!F269,"Flag override " &amp; TEXT(DATA!D269, "mm/dd/yyyy hh:mm")))</f>
        <v/>
      </c>
      <c r="G269" s="27" t="str">
        <f>IF(DATA2!G269 = 0, "", IF(ISBLANK(DATA2!G269),"",IF(ISBLANK(DATA!E269),DATA2!G269,"Flag override " &amp; TEXT(DATA!E269,"mm/dd/yyyy hh:mm"))))</f>
        <v/>
      </c>
      <c r="H269" s="25" t="str">
        <f>IF(DATA!$G269&gt;0,TEXT(DATA!G269,"mm/dd/yyyy hh:mm"),"")</f>
        <v/>
      </c>
      <c r="I269" s="21"/>
    </row>
    <row r="270" spans="2:9" ht="23.25" x14ac:dyDescent="0.25">
      <c r="B270" s="25" t="str">
        <f t="shared" si="7"/>
        <v/>
      </c>
      <c r="C270" s="25" t="str">
        <f>IF(NOT(ISBLANK(DATA2!C270)),DATA2!C270,"")</f>
        <v/>
      </c>
      <c r="D270" s="25" t="str">
        <f>IF(NOT(ISBLANK(DATA2!D270)),DATA2!D270,"")</f>
        <v/>
      </c>
      <c r="E270" s="26" t="str">
        <f>IF(ISBLANK(DATA2!E270),"",IF(ISBLANK(DATA!C270),DATA2!E270,"Flag override: " &amp; TEXT(DATA!C270, "mm/dd/yyyy hh:mm") ))</f>
        <v/>
      </c>
      <c r="F270" s="27" t="str">
        <f>IF(ISBLANK(DATA2!F270),"",IF(ISBLANK(DATA!D270),DATA2!F270,"Flag override " &amp; TEXT(DATA!D270, "mm/dd/yyyy hh:mm")))</f>
        <v/>
      </c>
      <c r="G270" s="27" t="str">
        <f>IF(DATA2!G270 = 0, "", IF(ISBLANK(DATA2!G270),"",IF(ISBLANK(DATA!E270),DATA2!G270,"Flag override " &amp; TEXT(DATA!E270,"mm/dd/yyyy hh:mm"))))</f>
        <v/>
      </c>
      <c r="H270" s="25" t="str">
        <f>IF(DATA!$G270&gt;0,TEXT(DATA!G270,"mm/dd/yyyy hh:mm"),"")</f>
        <v/>
      </c>
      <c r="I270" s="21"/>
    </row>
    <row r="271" spans="2:9" ht="23.25" x14ac:dyDescent="0.25">
      <c r="B271" s="25" t="str">
        <f t="shared" si="7"/>
        <v/>
      </c>
      <c r="C271" s="25" t="str">
        <f>IF(NOT(ISBLANK(DATA2!C271)),DATA2!C271,"")</f>
        <v/>
      </c>
      <c r="D271" s="25" t="str">
        <f>IF(NOT(ISBLANK(DATA2!D271)),DATA2!D271,"")</f>
        <v/>
      </c>
      <c r="E271" s="26" t="str">
        <f>IF(ISBLANK(DATA2!E271),"",IF(ISBLANK(DATA!C271),DATA2!E271,"Flag override: " &amp; TEXT(DATA!C271, "mm/dd/yyyy hh:mm") ))</f>
        <v/>
      </c>
      <c r="F271" s="27" t="str">
        <f>IF(ISBLANK(DATA2!F271),"",IF(ISBLANK(DATA!D271),DATA2!F271,"Flag override " &amp; TEXT(DATA!D271, "mm/dd/yyyy hh:mm")))</f>
        <v/>
      </c>
      <c r="G271" s="27" t="str">
        <f>IF(DATA2!G271 = 0, "", IF(ISBLANK(DATA2!G271),"",IF(ISBLANK(DATA!E271),DATA2!G271,"Flag override " &amp; TEXT(DATA!E271,"mm/dd/yyyy hh:mm"))))</f>
        <v/>
      </c>
      <c r="H271" s="25" t="str">
        <f>IF(DATA!$G271&gt;0,TEXT(DATA!G271,"mm/dd/yyyy hh:mm"),"")</f>
        <v/>
      </c>
      <c r="I271" s="21"/>
    </row>
    <row r="272" spans="2:9" ht="23.25" x14ac:dyDescent="0.25">
      <c r="B272" s="25" t="str">
        <f t="shared" si="7"/>
        <v/>
      </c>
      <c r="C272" s="25" t="str">
        <f>IF(NOT(ISBLANK(DATA2!C272)),DATA2!C272,"")</f>
        <v/>
      </c>
      <c r="D272" s="25" t="str">
        <f>IF(NOT(ISBLANK(DATA2!D272)),DATA2!D272,"")</f>
        <v/>
      </c>
      <c r="E272" s="26" t="str">
        <f>IF(ISBLANK(DATA2!E272),"",IF(ISBLANK(DATA!C272),DATA2!E272,"Flag override: " &amp; TEXT(DATA!C272, "mm/dd/yyyy hh:mm") ))</f>
        <v/>
      </c>
      <c r="F272" s="27" t="str">
        <f>IF(ISBLANK(DATA2!F272),"",IF(ISBLANK(DATA!D272),DATA2!F272,"Flag override " &amp; TEXT(DATA!D272, "mm/dd/yyyy hh:mm")))</f>
        <v/>
      </c>
      <c r="G272" s="27" t="str">
        <f>IF(DATA2!G272 = 0, "", IF(ISBLANK(DATA2!G272),"",IF(ISBLANK(DATA!E272),DATA2!G272,"Flag override " &amp; TEXT(DATA!E272,"mm/dd/yyyy hh:mm"))))</f>
        <v/>
      </c>
      <c r="H272" s="25" t="str">
        <f>IF(DATA!$G272&gt;0,TEXT(DATA!G272,"mm/dd/yyyy hh:mm"),"")</f>
        <v/>
      </c>
      <c r="I272" s="21"/>
    </row>
    <row r="273" spans="2:9" ht="23.25" x14ac:dyDescent="0.25">
      <c r="B273" s="25" t="str">
        <f t="shared" si="7"/>
        <v/>
      </c>
      <c r="C273" s="25" t="str">
        <f>IF(NOT(ISBLANK(DATA2!C273)),DATA2!C273,"")</f>
        <v/>
      </c>
      <c r="D273" s="25" t="str">
        <f>IF(NOT(ISBLANK(DATA2!D273)),DATA2!D273,"")</f>
        <v/>
      </c>
      <c r="E273" s="26" t="str">
        <f>IF(ISBLANK(DATA2!E273),"",IF(ISBLANK(DATA!C273),DATA2!E273,"Flag override: " &amp; TEXT(DATA!C273, "mm/dd/yyyy hh:mm") ))</f>
        <v/>
      </c>
      <c r="F273" s="27" t="str">
        <f>IF(ISBLANK(DATA2!F273),"",IF(ISBLANK(DATA!D273),DATA2!F273,"Flag override " &amp; TEXT(DATA!D273, "mm/dd/yyyy hh:mm")))</f>
        <v/>
      </c>
      <c r="G273" s="27" t="str">
        <f>IF(DATA2!G273 = 0, "", IF(ISBLANK(DATA2!G273),"",IF(ISBLANK(DATA!E273),DATA2!G273,"Flag override " &amp; TEXT(DATA!E273,"mm/dd/yyyy hh:mm"))))</f>
        <v/>
      </c>
      <c r="H273" s="25" t="str">
        <f>IF(DATA!$G273&gt;0,TEXT(DATA!G273,"mm/dd/yyyy hh:mm"),"")</f>
        <v/>
      </c>
      <c r="I273" s="21"/>
    </row>
    <row r="274" spans="2:9" ht="23.25" x14ac:dyDescent="0.25">
      <c r="B274" s="25" t="str">
        <f t="shared" si="7"/>
        <v/>
      </c>
      <c r="C274" s="25" t="str">
        <f>IF(NOT(ISBLANK(DATA2!C274)),DATA2!C274,"")</f>
        <v/>
      </c>
      <c r="D274" s="25" t="str">
        <f>IF(NOT(ISBLANK(DATA2!D274)),DATA2!D274,"")</f>
        <v/>
      </c>
      <c r="E274" s="26" t="str">
        <f>IF(ISBLANK(DATA2!E274),"",IF(ISBLANK(DATA!C274),DATA2!E274,"Flag override: " &amp; TEXT(DATA!C274, "mm/dd/yyyy hh:mm") ))</f>
        <v/>
      </c>
      <c r="F274" s="27" t="str">
        <f>IF(ISBLANK(DATA2!F274),"",IF(ISBLANK(DATA!D274),DATA2!F274,"Flag override " &amp; TEXT(DATA!D274, "mm/dd/yyyy hh:mm")))</f>
        <v/>
      </c>
      <c r="G274" s="27" t="str">
        <f>IF(DATA2!G274 = 0, "", IF(ISBLANK(DATA2!G274),"",IF(ISBLANK(DATA!E274),DATA2!G274,"Flag override " &amp; TEXT(DATA!E274,"mm/dd/yyyy hh:mm"))))</f>
        <v/>
      </c>
      <c r="H274" s="25" t="str">
        <f>IF(DATA!$G274&gt;0,TEXT(DATA!G274,"mm/dd/yyyy hh:mm"),"")</f>
        <v/>
      </c>
      <c r="I274" s="21"/>
    </row>
    <row r="275" spans="2:9" ht="23.25" x14ac:dyDescent="0.25">
      <c r="B275" s="25" t="str">
        <f t="shared" si="7"/>
        <v/>
      </c>
      <c r="C275" s="25" t="str">
        <f>IF(NOT(ISBLANK(DATA2!C275)),DATA2!C275,"")</f>
        <v/>
      </c>
      <c r="D275" s="25" t="str">
        <f>IF(NOT(ISBLANK(DATA2!D275)),DATA2!D275,"")</f>
        <v/>
      </c>
      <c r="E275" s="26" t="str">
        <f>IF(ISBLANK(DATA2!E275),"",IF(ISBLANK(DATA!C275),DATA2!E275,"Flag override: " &amp; TEXT(DATA!C275, "mm/dd/yyyy hh:mm") ))</f>
        <v/>
      </c>
      <c r="F275" s="27" t="str">
        <f>IF(ISBLANK(DATA2!F275),"",IF(ISBLANK(DATA!D275),DATA2!F275,"Flag override " &amp; TEXT(DATA!D275, "mm/dd/yyyy hh:mm")))</f>
        <v/>
      </c>
      <c r="G275" s="27" t="str">
        <f>IF(DATA2!G275 = 0, "", IF(ISBLANK(DATA2!G275),"",IF(ISBLANK(DATA!E275),DATA2!G275,"Flag override " &amp; TEXT(DATA!E275,"mm/dd/yyyy hh:mm"))))</f>
        <v/>
      </c>
      <c r="H275" s="25" t="str">
        <f>IF(DATA!$G275&gt;0,TEXT(DATA!G275,"mm/dd/yyyy hh:mm"),"")</f>
        <v/>
      </c>
      <c r="I275" s="21"/>
    </row>
    <row r="276" spans="2:9" ht="23.25" x14ac:dyDescent="0.25">
      <c r="B276" s="25" t="str">
        <f t="shared" si="7"/>
        <v/>
      </c>
      <c r="C276" s="25" t="str">
        <f>IF(NOT(ISBLANK(DATA2!C276)),DATA2!C276,"")</f>
        <v/>
      </c>
      <c r="D276" s="25" t="str">
        <f>IF(NOT(ISBLANK(DATA2!D276)),DATA2!D276,"")</f>
        <v/>
      </c>
      <c r="E276" s="26" t="str">
        <f>IF(ISBLANK(DATA2!E276),"",IF(ISBLANK(DATA!C276),DATA2!E276,"Flag override: " &amp; TEXT(DATA!C276, "mm/dd/yyyy hh:mm") ))</f>
        <v/>
      </c>
      <c r="F276" s="27" t="str">
        <f>IF(ISBLANK(DATA2!F276),"",IF(ISBLANK(DATA!D276),DATA2!F276,"Flag override " &amp; TEXT(DATA!D276, "mm/dd/yyyy hh:mm")))</f>
        <v/>
      </c>
      <c r="G276" s="27" t="str">
        <f>IF(DATA2!G276 = 0, "", IF(ISBLANK(DATA2!G276),"",IF(ISBLANK(DATA!E276),DATA2!G276,"Flag override " &amp; TEXT(DATA!E276,"mm/dd/yyyy hh:mm"))))</f>
        <v/>
      </c>
      <c r="H276" s="25" t="str">
        <f>IF(DATA!$G276&gt;0,TEXT(DATA!G276,"mm/dd/yyyy hh:mm"),"")</f>
        <v/>
      </c>
      <c r="I276" s="21"/>
    </row>
    <row r="277" spans="2:9" ht="23.25" x14ac:dyDescent="0.25">
      <c r="B277" s="25" t="str">
        <f t="shared" si="7"/>
        <v/>
      </c>
      <c r="C277" s="25" t="str">
        <f>IF(NOT(ISBLANK(DATA2!C277)),DATA2!C277,"")</f>
        <v/>
      </c>
      <c r="D277" s="25" t="str">
        <f>IF(NOT(ISBLANK(DATA2!D277)),DATA2!D277,"")</f>
        <v/>
      </c>
      <c r="E277" s="26" t="str">
        <f>IF(ISBLANK(DATA2!E277),"",IF(ISBLANK(DATA!C277),DATA2!E277,"Flag override: " &amp; TEXT(DATA!C277, "mm/dd/yyyy hh:mm") ))</f>
        <v/>
      </c>
      <c r="F277" s="27" t="str">
        <f>IF(ISBLANK(DATA2!F277),"",IF(ISBLANK(DATA!D277),DATA2!F277,"Flag override " &amp; TEXT(DATA!D277, "mm/dd/yyyy hh:mm")))</f>
        <v/>
      </c>
      <c r="G277" s="27" t="str">
        <f>IF(DATA2!G277 = 0, "", IF(ISBLANK(DATA2!G277),"",IF(ISBLANK(DATA!E277),DATA2!G277,"Flag override " &amp; TEXT(DATA!E277,"mm/dd/yyyy hh:mm"))))</f>
        <v/>
      </c>
      <c r="H277" s="25" t="str">
        <f>IF(DATA!$G277&gt;0,TEXT(DATA!G277,"mm/dd/yyyy hh:mm"),"")</f>
        <v/>
      </c>
      <c r="I277" s="21"/>
    </row>
    <row r="278" spans="2:9" ht="23.25" x14ac:dyDescent="0.25">
      <c r="B278" s="25" t="str">
        <f t="shared" si="7"/>
        <v/>
      </c>
      <c r="C278" s="25" t="str">
        <f>IF(NOT(ISBLANK(DATA2!C278)),DATA2!C278,"")</f>
        <v/>
      </c>
      <c r="D278" s="25" t="str">
        <f>IF(NOT(ISBLANK(DATA2!D278)),DATA2!D278,"")</f>
        <v/>
      </c>
      <c r="E278" s="26" t="str">
        <f>IF(ISBLANK(DATA2!E278),"",IF(ISBLANK(DATA!C278),DATA2!E278,"Flag override: " &amp; TEXT(DATA!C278, "mm/dd/yyyy hh:mm") ))</f>
        <v/>
      </c>
      <c r="F278" s="27" t="str">
        <f>IF(ISBLANK(DATA2!F278),"",IF(ISBLANK(DATA!D278),DATA2!F278,"Flag override " &amp; TEXT(DATA!D278, "mm/dd/yyyy hh:mm")))</f>
        <v/>
      </c>
      <c r="G278" s="27" t="str">
        <f>IF(DATA2!G278 = 0, "", IF(ISBLANK(DATA2!G278),"",IF(ISBLANK(DATA!E278),DATA2!G278,"Flag override " &amp; TEXT(DATA!E278,"mm/dd/yyyy hh:mm"))))</f>
        <v/>
      </c>
      <c r="H278" s="25" t="str">
        <f>IF(DATA!$G278&gt;0,TEXT(DATA!G278,"mm/dd/yyyy hh:mm"),"")</f>
        <v/>
      </c>
      <c r="I278" s="21"/>
    </row>
    <row r="279" spans="2:9" ht="23.25" x14ac:dyDescent="0.25">
      <c r="B279" s="25" t="str">
        <f t="shared" si="7"/>
        <v/>
      </c>
      <c r="C279" s="25" t="str">
        <f>IF(NOT(ISBLANK(DATA2!C279)),DATA2!C279,"")</f>
        <v/>
      </c>
      <c r="D279" s="25" t="str">
        <f>IF(NOT(ISBLANK(DATA2!D279)),DATA2!D279,"")</f>
        <v/>
      </c>
      <c r="E279" s="26" t="str">
        <f>IF(ISBLANK(DATA2!E279),"",IF(ISBLANK(DATA!C279),DATA2!E279,"Flag override: " &amp; TEXT(DATA!C279, "mm/dd/yyyy hh:mm") ))</f>
        <v/>
      </c>
      <c r="F279" s="27" t="str">
        <f>IF(ISBLANK(DATA2!F279),"",IF(ISBLANK(DATA!D279),DATA2!F279,"Flag override " &amp; TEXT(DATA!D279, "mm/dd/yyyy hh:mm")))</f>
        <v/>
      </c>
      <c r="G279" s="27" t="str">
        <f>IF(DATA2!G279 = 0, "", IF(ISBLANK(DATA2!G279),"",IF(ISBLANK(DATA!E279),DATA2!G279,"Flag override " &amp; TEXT(DATA!E279,"mm/dd/yyyy hh:mm"))))</f>
        <v/>
      </c>
      <c r="H279" s="25" t="str">
        <f>IF(DATA!$G279&gt;0,TEXT(DATA!G279,"mm/dd/yyyy hh:mm"),"")</f>
        <v/>
      </c>
      <c r="I279" s="21"/>
    </row>
    <row r="280" spans="2:9" ht="23.25" x14ac:dyDescent="0.25">
      <c r="B280" s="25" t="str">
        <f t="shared" si="7"/>
        <v/>
      </c>
      <c r="C280" s="25" t="str">
        <f>IF(NOT(ISBLANK(DATA2!C280)),DATA2!C280,"")</f>
        <v/>
      </c>
      <c r="D280" s="25" t="str">
        <f>IF(NOT(ISBLANK(DATA2!D280)),DATA2!D280,"")</f>
        <v/>
      </c>
      <c r="E280" s="26" t="str">
        <f>IF(ISBLANK(DATA2!E280),"",IF(ISBLANK(DATA!C280),DATA2!E280,"Flag override: " &amp; TEXT(DATA!C280, "mm/dd/yyyy hh:mm") ))</f>
        <v/>
      </c>
      <c r="F280" s="27" t="str">
        <f>IF(ISBLANK(DATA2!F280),"",IF(ISBLANK(DATA!D280),DATA2!F280,"Flag override " &amp; TEXT(DATA!D280, "mm/dd/yyyy hh:mm")))</f>
        <v/>
      </c>
      <c r="G280" s="27" t="str">
        <f>IF(DATA2!G280 = 0, "", IF(ISBLANK(DATA2!G280),"",IF(ISBLANK(DATA!E280),DATA2!G280,"Flag override " &amp; TEXT(DATA!E280,"mm/dd/yyyy hh:mm"))))</f>
        <v/>
      </c>
      <c r="H280" s="25" t="str">
        <f>IF(DATA!$G280&gt;0,TEXT(DATA!G280,"mm/dd/yyyy hh:mm"),"")</f>
        <v/>
      </c>
      <c r="I280" s="21"/>
    </row>
    <row r="281" spans="2:9" ht="23.25" x14ac:dyDescent="0.25">
      <c r="B281" s="25" t="str">
        <f t="shared" si="7"/>
        <v/>
      </c>
      <c r="C281" s="25" t="str">
        <f>IF(NOT(ISBLANK(DATA2!C281)),DATA2!C281,"")</f>
        <v/>
      </c>
      <c r="D281" s="25" t="str">
        <f>IF(NOT(ISBLANK(DATA2!D281)),DATA2!D281,"")</f>
        <v/>
      </c>
      <c r="E281" s="26" t="str">
        <f>IF(ISBLANK(DATA2!E281),"",IF(ISBLANK(DATA!C281),DATA2!E281,"Flag override: " &amp; TEXT(DATA!C281, "mm/dd/yyyy hh:mm") ))</f>
        <v/>
      </c>
      <c r="F281" s="27" t="str">
        <f>IF(ISBLANK(DATA2!F281),"",IF(ISBLANK(DATA!D281),DATA2!F281,"Flag override " &amp; TEXT(DATA!D281, "mm/dd/yyyy hh:mm")))</f>
        <v/>
      </c>
      <c r="G281" s="27" t="str">
        <f>IF(DATA2!G281 = 0, "", IF(ISBLANK(DATA2!G281),"",IF(ISBLANK(DATA!E281),DATA2!G281,"Flag override " &amp; TEXT(DATA!E281,"mm/dd/yyyy hh:mm"))))</f>
        <v/>
      </c>
      <c r="H281" s="25" t="str">
        <f>IF(DATA!$G281&gt;0,TEXT(DATA!G281,"mm/dd/yyyy hh:mm"),"")</f>
        <v/>
      </c>
      <c r="I281" s="21"/>
    </row>
    <row r="282" spans="2:9" ht="23.25" x14ac:dyDescent="0.25">
      <c r="B282" s="25" t="str">
        <f t="shared" si="7"/>
        <v/>
      </c>
      <c r="C282" s="25" t="str">
        <f>IF(NOT(ISBLANK(DATA2!C282)),DATA2!C282,"")</f>
        <v/>
      </c>
      <c r="D282" s="25" t="str">
        <f>IF(NOT(ISBLANK(DATA2!D282)),DATA2!D282,"")</f>
        <v/>
      </c>
      <c r="E282" s="26" t="str">
        <f>IF(ISBLANK(DATA2!E282),"",IF(ISBLANK(DATA!C282),DATA2!E282,"Flag override: " &amp; TEXT(DATA!C282, "mm/dd/yyyy hh:mm") ))</f>
        <v/>
      </c>
      <c r="F282" s="27" t="str">
        <f>IF(ISBLANK(DATA2!F282),"",IF(ISBLANK(DATA!D282),DATA2!F282,"Flag override " &amp; TEXT(DATA!D282, "mm/dd/yyyy hh:mm")))</f>
        <v/>
      </c>
      <c r="G282" s="27" t="str">
        <f>IF(DATA2!G282 = 0, "", IF(ISBLANK(DATA2!G282),"",IF(ISBLANK(DATA!E282),DATA2!G282,"Flag override " &amp; TEXT(DATA!E282,"mm/dd/yyyy hh:mm"))))</f>
        <v/>
      </c>
      <c r="H282" s="25" t="str">
        <f>IF(DATA!$G282&gt;0,TEXT(DATA!G282,"mm/dd/yyyy hh:mm"),"")</f>
        <v/>
      </c>
      <c r="I282" s="21"/>
    </row>
    <row r="283" spans="2:9" ht="23.25" x14ac:dyDescent="0.25">
      <c r="B283" s="25" t="str">
        <f t="shared" si="7"/>
        <v/>
      </c>
      <c r="C283" s="25" t="str">
        <f>IF(NOT(ISBLANK(DATA2!C283)),DATA2!C283,"")</f>
        <v/>
      </c>
      <c r="D283" s="25" t="str">
        <f>IF(NOT(ISBLANK(DATA2!D283)),DATA2!D283,"")</f>
        <v/>
      </c>
      <c r="E283" s="26" t="str">
        <f>IF(ISBLANK(DATA2!E283),"",IF(ISBLANK(DATA!C283),DATA2!E283,"Flag override: " &amp; TEXT(DATA!C283, "mm/dd/yyyy hh:mm") ))</f>
        <v/>
      </c>
      <c r="F283" s="27" t="str">
        <f>IF(ISBLANK(DATA2!F283),"",IF(ISBLANK(DATA!D283),DATA2!F283,"Flag override " &amp; TEXT(DATA!D283, "mm/dd/yyyy hh:mm")))</f>
        <v/>
      </c>
      <c r="G283" s="27" t="str">
        <f>IF(DATA2!G283 = 0, "", IF(ISBLANK(DATA2!G283),"",IF(ISBLANK(DATA!E283),DATA2!G283,"Flag override " &amp; TEXT(DATA!E283,"mm/dd/yyyy hh:mm"))))</f>
        <v/>
      </c>
      <c r="H283" s="25" t="str">
        <f>IF(DATA!$G283&gt;0,TEXT(DATA!G283,"mm/dd/yyyy hh:mm"),"")</f>
        <v/>
      </c>
      <c r="I283" s="21"/>
    </row>
    <row r="284" spans="2:9" ht="23.25" x14ac:dyDescent="0.25">
      <c r="B284" s="25" t="str">
        <f t="shared" si="7"/>
        <v/>
      </c>
      <c r="C284" s="25" t="str">
        <f>IF(NOT(ISBLANK(DATA2!C284)),DATA2!C284,"")</f>
        <v/>
      </c>
      <c r="D284" s="25" t="str">
        <f>IF(NOT(ISBLANK(DATA2!D284)),DATA2!D284,"")</f>
        <v/>
      </c>
      <c r="E284" s="26" t="str">
        <f>IF(ISBLANK(DATA2!E284),"",IF(ISBLANK(DATA!C284),DATA2!E284,"Flag override: " &amp; TEXT(DATA!C284, "mm/dd/yyyy hh:mm") ))</f>
        <v/>
      </c>
      <c r="F284" s="27" t="str">
        <f>IF(ISBLANK(DATA2!F284),"",IF(ISBLANK(DATA!D284),DATA2!F284,"Flag override " &amp; TEXT(DATA!D284, "mm/dd/yyyy hh:mm")))</f>
        <v/>
      </c>
      <c r="G284" s="27" t="str">
        <f>IF(DATA2!G284 = 0, "", IF(ISBLANK(DATA2!G284),"",IF(ISBLANK(DATA!E284),DATA2!G284,"Flag override " &amp; TEXT(DATA!E284,"mm/dd/yyyy hh:mm"))))</f>
        <v/>
      </c>
      <c r="H284" s="25" t="str">
        <f>IF(DATA!$G284&gt;0,TEXT(DATA!G284,"mm/dd/yyyy hh:mm"),"")</f>
        <v/>
      </c>
      <c r="I284" s="21"/>
    </row>
    <row r="285" spans="2:9" ht="23.25" x14ac:dyDescent="0.25">
      <c r="B285" s="25" t="str">
        <f t="shared" si="7"/>
        <v/>
      </c>
      <c r="C285" s="25" t="str">
        <f>IF(NOT(ISBLANK(DATA2!C285)),DATA2!C285,"")</f>
        <v/>
      </c>
      <c r="D285" s="25" t="str">
        <f>IF(NOT(ISBLANK(DATA2!D285)),DATA2!D285,"")</f>
        <v/>
      </c>
      <c r="E285" s="26" t="str">
        <f>IF(ISBLANK(DATA2!E285),"",IF(ISBLANK(DATA!C285),DATA2!E285,"Flag override: " &amp; TEXT(DATA!C285, "mm/dd/yyyy hh:mm") ))</f>
        <v/>
      </c>
      <c r="F285" s="27" t="str">
        <f>IF(ISBLANK(DATA2!F285),"",IF(ISBLANK(DATA!D285),DATA2!F285,"Flag override " &amp; TEXT(DATA!D285, "mm/dd/yyyy hh:mm")))</f>
        <v/>
      </c>
      <c r="G285" s="27" t="str">
        <f>IF(DATA2!G285 = 0, "", IF(ISBLANK(DATA2!G285),"",IF(ISBLANK(DATA!E285),DATA2!G285,"Flag override " &amp; TEXT(DATA!E285,"mm/dd/yyyy hh:mm"))))</f>
        <v/>
      </c>
      <c r="H285" s="25" t="str">
        <f>IF(DATA!$G285&gt;0,TEXT(DATA!G285,"mm/dd/yyyy hh:mm"),"")</f>
        <v/>
      </c>
      <c r="I285" s="21"/>
    </row>
    <row r="286" spans="2:9" ht="23.25" x14ac:dyDescent="0.25">
      <c r="B286" s="25" t="str">
        <f t="shared" si="7"/>
        <v/>
      </c>
      <c r="C286" s="25" t="str">
        <f>IF(NOT(ISBLANK(DATA2!C286)),DATA2!C286,"")</f>
        <v/>
      </c>
      <c r="D286" s="25" t="str">
        <f>IF(NOT(ISBLANK(DATA2!D286)),DATA2!D286,"")</f>
        <v/>
      </c>
      <c r="E286" s="26" t="str">
        <f>IF(ISBLANK(DATA2!E286),"",IF(ISBLANK(DATA!C286),DATA2!E286,"Flag override: " &amp; TEXT(DATA!C286, "mm/dd/yyyy hh:mm") ))</f>
        <v/>
      </c>
      <c r="F286" s="27" t="str">
        <f>IF(ISBLANK(DATA2!F286),"",IF(ISBLANK(DATA!D286),DATA2!F286,"Flag override " &amp; TEXT(DATA!D286, "mm/dd/yyyy hh:mm")))</f>
        <v/>
      </c>
      <c r="G286" s="27" t="str">
        <f>IF(DATA2!G286 = 0, "", IF(ISBLANK(DATA2!G286),"",IF(ISBLANK(DATA!E286),DATA2!G286,"Flag override " &amp; TEXT(DATA!E286,"mm/dd/yyyy hh:mm"))))</f>
        <v/>
      </c>
      <c r="H286" s="25" t="str">
        <f>IF(DATA!$G286&gt;0,TEXT(DATA!G286,"mm/dd/yyyy hh:mm"),"")</f>
        <v/>
      </c>
      <c r="I286" s="21"/>
    </row>
    <row r="287" spans="2:9" ht="23.25" x14ac:dyDescent="0.25">
      <c r="B287" s="25" t="str">
        <f t="shared" si="7"/>
        <v/>
      </c>
      <c r="C287" s="25" t="str">
        <f>IF(NOT(ISBLANK(DATA2!C287)),DATA2!C287,"")</f>
        <v/>
      </c>
      <c r="D287" s="25" t="str">
        <f>IF(NOT(ISBLANK(DATA2!D287)),DATA2!D287,"")</f>
        <v/>
      </c>
      <c r="E287" s="26" t="str">
        <f>IF(ISBLANK(DATA2!E287),"",IF(ISBLANK(DATA!C287),DATA2!E287,"Flag override: " &amp; TEXT(DATA!C287, "mm/dd/yyyy hh:mm") ))</f>
        <v/>
      </c>
      <c r="F287" s="27" t="str">
        <f>IF(ISBLANK(DATA2!F287),"",IF(ISBLANK(DATA!D287),DATA2!F287,"Flag override " &amp; TEXT(DATA!D287, "mm/dd/yyyy hh:mm")))</f>
        <v/>
      </c>
      <c r="G287" s="27" t="str">
        <f>IF(DATA2!G287 = 0, "", IF(ISBLANK(DATA2!G287),"",IF(ISBLANK(DATA!E287),DATA2!G287,"Flag override " &amp; TEXT(DATA!E287,"mm/dd/yyyy hh:mm"))))</f>
        <v/>
      </c>
      <c r="H287" s="25" t="str">
        <f>IF(DATA!$G287&gt;0,TEXT(DATA!G287,"mm/dd/yyyy hh:mm"),"")</f>
        <v/>
      </c>
      <c r="I287" s="21"/>
    </row>
    <row r="288" spans="2:9" ht="23.25" x14ac:dyDescent="0.25">
      <c r="B288" s="25" t="str">
        <f t="shared" si="7"/>
        <v/>
      </c>
      <c r="C288" s="25" t="str">
        <f>IF(NOT(ISBLANK(DATA2!C288)),DATA2!C288,"")</f>
        <v/>
      </c>
      <c r="D288" s="25" t="str">
        <f>IF(NOT(ISBLANK(DATA2!D288)),DATA2!D288,"")</f>
        <v/>
      </c>
      <c r="E288" s="26" t="str">
        <f>IF(ISBLANK(DATA2!E288),"",IF(ISBLANK(DATA!C288),DATA2!E288,"Flag override: " &amp; TEXT(DATA!C288, "mm/dd/yyyy hh:mm") ))</f>
        <v/>
      </c>
      <c r="F288" s="27" t="str">
        <f>IF(ISBLANK(DATA2!F288),"",IF(ISBLANK(DATA!D288),DATA2!F288,"Flag override " &amp; TEXT(DATA!D288, "mm/dd/yyyy hh:mm")))</f>
        <v/>
      </c>
      <c r="G288" s="27" t="str">
        <f>IF(DATA2!G288 = 0, "", IF(ISBLANK(DATA2!G288),"",IF(ISBLANK(DATA!E288),DATA2!G288,"Flag override " &amp; TEXT(DATA!E288,"mm/dd/yyyy hh:mm"))))</f>
        <v/>
      </c>
      <c r="H288" s="25" t="str">
        <f>IF(DATA!$G288&gt;0,TEXT(DATA!G288,"mm/dd/yyyy hh:mm"),"")</f>
        <v/>
      </c>
      <c r="I288" s="21"/>
    </row>
    <row r="289" spans="2:9" ht="23.25" x14ac:dyDescent="0.25">
      <c r="B289" s="25" t="str">
        <f t="shared" si="7"/>
        <v/>
      </c>
      <c r="C289" s="25" t="str">
        <f>IF(NOT(ISBLANK(DATA2!C289)),DATA2!C289,"")</f>
        <v/>
      </c>
      <c r="D289" s="25" t="str">
        <f>IF(NOT(ISBLANK(DATA2!D289)),DATA2!D289,"")</f>
        <v/>
      </c>
      <c r="E289" s="26" t="str">
        <f>IF(ISBLANK(DATA2!E289),"",IF(ISBLANK(DATA!C289),DATA2!E289,"Flag override: " &amp; TEXT(DATA!C289, "mm/dd/yyyy hh:mm") ))</f>
        <v/>
      </c>
      <c r="F289" s="27" t="str">
        <f>IF(ISBLANK(DATA2!F289),"",IF(ISBLANK(DATA!D289),DATA2!F289,"Flag override " &amp; TEXT(DATA!D289, "mm/dd/yyyy hh:mm")))</f>
        <v/>
      </c>
      <c r="G289" s="27" t="str">
        <f>IF(DATA2!G289 = 0, "", IF(ISBLANK(DATA2!G289),"",IF(ISBLANK(DATA!E289),DATA2!G289,"Flag override " &amp; TEXT(DATA!E289,"mm/dd/yyyy hh:mm"))))</f>
        <v/>
      </c>
      <c r="H289" s="25" t="str">
        <f>IF(DATA!$G289&gt;0,TEXT(DATA!G289,"mm/dd/yyyy hh:mm"),"")</f>
        <v/>
      </c>
      <c r="I289" s="21"/>
    </row>
    <row r="290" spans="2:9" ht="23.25" x14ac:dyDescent="0.25">
      <c r="B290" s="25" t="str">
        <f t="shared" si="7"/>
        <v/>
      </c>
      <c r="C290" s="25" t="str">
        <f>IF(NOT(ISBLANK(DATA2!C290)),DATA2!C290,"")</f>
        <v/>
      </c>
      <c r="D290" s="25" t="str">
        <f>IF(NOT(ISBLANK(DATA2!D290)),DATA2!D290,"")</f>
        <v/>
      </c>
      <c r="E290" s="26" t="str">
        <f>IF(ISBLANK(DATA2!E290),"",IF(ISBLANK(DATA!C290),DATA2!E290,"Flag override: " &amp; TEXT(DATA!C290, "mm/dd/yyyy hh:mm") ))</f>
        <v/>
      </c>
      <c r="F290" s="27" t="str">
        <f>IF(ISBLANK(DATA2!F290),"",IF(ISBLANK(DATA!D290),DATA2!F290,"Flag override " &amp; TEXT(DATA!D290, "mm/dd/yyyy hh:mm")))</f>
        <v/>
      </c>
      <c r="G290" s="27" t="str">
        <f>IF(DATA2!G290 = 0, "", IF(ISBLANK(DATA2!G290),"",IF(ISBLANK(DATA!E290),DATA2!G290,"Flag override " &amp; TEXT(DATA!E290,"mm/dd/yyyy hh:mm"))))</f>
        <v/>
      </c>
      <c r="H290" s="25" t="str">
        <f>IF(DATA!$G290&gt;0,TEXT(DATA!G290,"mm/dd/yyyy hh:mm"),"")</f>
        <v/>
      </c>
      <c r="I290" s="21"/>
    </row>
    <row r="291" spans="2:9" ht="23.25" x14ac:dyDescent="0.25">
      <c r="B291" s="25" t="str">
        <f t="shared" si="7"/>
        <v/>
      </c>
      <c r="C291" s="25" t="str">
        <f>IF(NOT(ISBLANK(DATA2!C291)),DATA2!C291,"")</f>
        <v/>
      </c>
      <c r="D291" s="25" t="str">
        <f>IF(NOT(ISBLANK(DATA2!D291)),DATA2!D291,"")</f>
        <v/>
      </c>
      <c r="E291" s="26" t="str">
        <f>IF(ISBLANK(DATA2!E291),"",IF(ISBLANK(DATA!C291),DATA2!E291,"Flag override: " &amp; TEXT(DATA!C291, "mm/dd/yyyy hh:mm") ))</f>
        <v/>
      </c>
      <c r="F291" s="27" t="str">
        <f>IF(ISBLANK(DATA2!F291),"",IF(ISBLANK(DATA!D291),DATA2!F291,"Flag override " &amp; TEXT(DATA!D291, "mm/dd/yyyy hh:mm")))</f>
        <v/>
      </c>
      <c r="G291" s="27" t="str">
        <f>IF(DATA2!G291 = 0, "", IF(ISBLANK(DATA2!G291),"",IF(ISBLANK(DATA!E291),DATA2!G291,"Flag override " &amp; TEXT(DATA!E291,"mm/dd/yyyy hh:mm"))))</f>
        <v/>
      </c>
      <c r="H291" s="25" t="str">
        <f>IF(DATA!$G291&gt;0,TEXT(DATA!G291,"mm/dd/yyyy hh:mm"),"")</f>
        <v/>
      </c>
      <c r="I291" s="21"/>
    </row>
    <row r="292" spans="2:9" ht="23.25" x14ac:dyDescent="0.25">
      <c r="B292" s="25" t="str">
        <f t="shared" si="7"/>
        <v/>
      </c>
      <c r="C292" s="25" t="str">
        <f>IF(NOT(ISBLANK(DATA2!C292)),DATA2!C292,"")</f>
        <v/>
      </c>
      <c r="D292" s="25" t="str">
        <f>IF(NOT(ISBLANK(DATA2!D292)),DATA2!D292,"")</f>
        <v/>
      </c>
      <c r="E292" s="26" t="str">
        <f>IF(ISBLANK(DATA2!E292),"",IF(ISBLANK(DATA!C292),DATA2!E292,"Flag override: " &amp; TEXT(DATA!C292, "mm/dd/yyyy hh:mm") ))</f>
        <v/>
      </c>
      <c r="F292" s="27" t="str">
        <f>IF(ISBLANK(DATA2!F292),"",IF(ISBLANK(DATA!D292),DATA2!F292,"Flag override " &amp; TEXT(DATA!D292, "mm/dd/yyyy hh:mm")))</f>
        <v/>
      </c>
      <c r="G292" s="27" t="str">
        <f>IF(DATA2!G292 = 0, "", IF(ISBLANK(DATA2!G292),"",IF(ISBLANK(DATA!E292),DATA2!G292,"Flag override " &amp; TEXT(DATA!E292,"mm/dd/yyyy hh:mm"))))</f>
        <v/>
      </c>
      <c r="H292" s="25" t="str">
        <f>IF(DATA!$G292&gt;0,TEXT(DATA!G292,"mm/dd/yyyy hh:mm"),"")</f>
        <v/>
      </c>
      <c r="I292" s="21"/>
    </row>
    <row r="293" spans="2:9" ht="23.25" x14ac:dyDescent="0.25">
      <c r="B293" s="25" t="str">
        <f t="shared" si="7"/>
        <v/>
      </c>
      <c r="C293" s="25" t="str">
        <f>IF(NOT(ISBLANK(DATA2!C293)),DATA2!C293,"")</f>
        <v/>
      </c>
      <c r="D293" s="25" t="str">
        <f>IF(NOT(ISBLANK(DATA2!D293)),DATA2!D293,"")</f>
        <v/>
      </c>
      <c r="E293" s="26" t="str">
        <f>IF(ISBLANK(DATA2!E293),"",IF(ISBLANK(DATA!C293),DATA2!E293,"Flag override: " &amp; TEXT(DATA!C293, "mm/dd/yyyy hh:mm") ))</f>
        <v/>
      </c>
      <c r="F293" s="27" t="str">
        <f>IF(ISBLANK(DATA2!F293),"",IF(ISBLANK(DATA!D293),DATA2!F293,"Flag override " &amp; TEXT(DATA!D293, "mm/dd/yyyy hh:mm")))</f>
        <v/>
      </c>
      <c r="G293" s="27" t="str">
        <f>IF(DATA2!G293 = 0, "", IF(ISBLANK(DATA2!G293),"",IF(ISBLANK(DATA!E293),DATA2!G293,"Flag override " &amp; TEXT(DATA!E293,"mm/dd/yyyy hh:mm"))))</f>
        <v/>
      </c>
      <c r="H293" s="25" t="str">
        <f>IF(DATA!$G293&gt;0,TEXT(DATA!G293,"mm/dd/yyyy hh:mm"),"")</f>
        <v/>
      </c>
      <c r="I293" s="21"/>
    </row>
    <row r="294" spans="2:9" ht="23.25" x14ac:dyDescent="0.25">
      <c r="B294" s="25" t="str">
        <f t="shared" si="7"/>
        <v/>
      </c>
      <c r="C294" s="25" t="str">
        <f>IF(NOT(ISBLANK(DATA2!C294)),DATA2!C294,"")</f>
        <v/>
      </c>
      <c r="D294" s="25" t="str">
        <f>IF(NOT(ISBLANK(DATA2!D294)),DATA2!D294,"")</f>
        <v/>
      </c>
      <c r="E294" s="26" t="str">
        <f>IF(ISBLANK(DATA2!E294),"",IF(ISBLANK(DATA!C294),DATA2!E294,"Flag override: " &amp; TEXT(DATA!C294, "mm/dd/yyyy hh:mm") ))</f>
        <v/>
      </c>
      <c r="F294" s="27" t="str">
        <f>IF(ISBLANK(DATA2!F294),"",IF(ISBLANK(DATA!D294),DATA2!F294,"Flag override " &amp; TEXT(DATA!D294, "mm/dd/yyyy hh:mm")))</f>
        <v/>
      </c>
      <c r="G294" s="27" t="str">
        <f>IF(DATA2!G294 = 0, "", IF(ISBLANK(DATA2!G294),"",IF(ISBLANK(DATA!E294),DATA2!G294,"Flag override " &amp; TEXT(DATA!E294,"mm/dd/yyyy hh:mm"))))</f>
        <v/>
      </c>
      <c r="H294" s="25" t="str">
        <f>IF(DATA!$G294&gt;0,TEXT(DATA!G294,"mm/dd/yyyy hh:mm"),"")</f>
        <v/>
      </c>
      <c r="I294" s="21"/>
    </row>
    <row r="295" spans="2:9" ht="23.25" x14ac:dyDescent="0.25">
      <c r="B295" s="25" t="str">
        <f t="shared" si="7"/>
        <v/>
      </c>
      <c r="C295" s="25" t="str">
        <f>IF(NOT(ISBLANK(DATA2!C295)),DATA2!C295,"")</f>
        <v/>
      </c>
      <c r="D295" s="25" t="str">
        <f>IF(NOT(ISBLANK(DATA2!D295)),DATA2!D295,"")</f>
        <v/>
      </c>
      <c r="E295" s="26" t="str">
        <f>IF(ISBLANK(DATA2!E295),"",IF(ISBLANK(DATA!C295),DATA2!E295,"Flag override: " &amp; TEXT(DATA!C295, "mm/dd/yyyy hh:mm") ))</f>
        <v/>
      </c>
      <c r="F295" s="27" t="str">
        <f>IF(ISBLANK(DATA2!F295),"",IF(ISBLANK(DATA!D295),DATA2!F295,"Flag override " &amp; TEXT(DATA!D295, "mm/dd/yyyy hh:mm")))</f>
        <v/>
      </c>
      <c r="G295" s="27" t="str">
        <f>IF(DATA2!G295 = 0, "", IF(ISBLANK(DATA2!G295),"",IF(ISBLANK(DATA!E295),DATA2!G295,"Flag override " &amp; TEXT(DATA!E295,"mm/dd/yyyy hh:mm"))))</f>
        <v/>
      </c>
      <c r="H295" s="25" t="str">
        <f>IF(DATA!$G295&gt;0,TEXT(DATA!G295,"mm/dd/yyyy hh:mm"),"")</f>
        <v/>
      </c>
      <c r="I295" s="21"/>
    </row>
    <row r="296" spans="2:9" ht="23.25" x14ac:dyDescent="0.25">
      <c r="B296" s="25" t="str">
        <f t="shared" si="7"/>
        <v/>
      </c>
      <c r="C296" s="25" t="str">
        <f>IF(NOT(ISBLANK(DATA2!C296)),DATA2!C296,"")</f>
        <v/>
      </c>
      <c r="D296" s="25" t="str">
        <f>IF(NOT(ISBLANK(DATA2!D296)),DATA2!D296,"")</f>
        <v/>
      </c>
      <c r="E296" s="26" t="str">
        <f>IF(ISBLANK(DATA2!E296),"",IF(ISBLANK(DATA!C296),DATA2!E296,"Flag override: " &amp; TEXT(DATA!C296, "mm/dd/yyyy hh:mm") ))</f>
        <v/>
      </c>
      <c r="F296" s="27" t="str">
        <f>IF(ISBLANK(DATA2!F296),"",IF(ISBLANK(DATA!D296),DATA2!F296,"Flag override " &amp; TEXT(DATA!D296, "mm/dd/yyyy hh:mm")))</f>
        <v/>
      </c>
      <c r="G296" s="27" t="str">
        <f>IF(DATA2!G296 = 0, "", IF(ISBLANK(DATA2!G296),"",IF(ISBLANK(DATA!E296),DATA2!G296,"Flag override " &amp; TEXT(DATA!E296,"mm/dd/yyyy hh:mm"))))</f>
        <v/>
      </c>
      <c r="H296" s="25" t="str">
        <f>IF(DATA!$G296&gt;0,TEXT(DATA!G296,"mm/dd/yyyy hh:mm"),"")</f>
        <v/>
      </c>
      <c r="I296" s="21"/>
    </row>
    <row r="297" spans="2:9" ht="23.25" x14ac:dyDescent="0.25">
      <c r="B297" s="25" t="str">
        <f t="shared" si="7"/>
        <v/>
      </c>
      <c r="C297" s="25" t="str">
        <f>IF(NOT(ISBLANK(DATA2!C297)),DATA2!C297,"")</f>
        <v/>
      </c>
      <c r="D297" s="25" t="str">
        <f>IF(NOT(ISBLANK(DATA2!D297)),DATA2!D297,"")</f>
        <v/>
      </c>
      <c r="E297" s="26" t="str">
        <f>IF(ISBLANK(DATA2!E297),"",IF(ISBLANK(DATA!C297),DATA2!E297,"Flag override: " &amp; TEXT(DATA!C297, "mm/dd/yyyy hh:mm") ))</f>
        <v/>
      </c>
      <c r="F297" s="27" t="str">
        <f>IF(ISBLANK(DATA2!F297),"",IF(ISBLANK(DATA!D297),DATA2!F297,"Flag override " &amp; TEXT(DATA!D297, "mm/dd/yyyy hh:mm")))</f>
        <v/>
      </c>
      <c r="G297" s="27" t="str">
        <f>IF(DATA2!G297 = 0, "", IF(ISBLANK(DATA2!G297),"",IF(ISBLANK(DATA!E297),DATA2!G297,"Flag override " &amp; TEXT(DATA!E297,"mm/dd/yyyy hh:mm"))))</f>
        <v/>
      </c>
      <c r="H297" s="25" t="str">
        <f>IF(DATA!$G297&gt;0,TEXT(DATA!G297,"mm/dd/yyyy hh:mm"),"")</f>
        <v/>
      </c>
      <c r="I297" s="21"/>
    </row>
    <row r="298" spans="2:9" ht="23.25" x14ac:dyDescent="0.25">
      <c r="B298" s="25" t="str">
        <f t="shared" si="7"/>
        <v/>
      </c>
      <c r="C298" s="25" t="str">
        <f>IF(NOT(ISBLANK(DATA2!C298)),DATA2!C298,"")</f>
        <v/>
      </c>
      <c r="D298" s="25" t="str">
        <f>IF(NOT(ISBLANK(DATA2!D298)),DATA2!D298,"")</f>
        <v/>
      </c>
      <c r="E298" s="26" t="str">
        <f>IF(ISBLANK(DATA2!E298),"",IF(ISBLANK(DATA!C298),DATA2!E298,"Flag override: " &amp; TEXT(DATA!C298, "mm/dd/yyyy hh:mm") ))</f>
        <v/>
      </c>
      <c r="F298" s="27" t="str">
        <f>IF(ISBLANK(DATA2!F298),"",IF(ISBLANK(DATA!D298),DATA2!F298,"Flag override " &amp; TEXT(DATA!D298, "mm/dd/yyyy hh:mm")))</f>
        <v/>
      </c>
      <c r="G298" s="27" t="str">
        <f>IF(DATA2!G298 = 0, "", IF(ISBLANK(DATA2!G298),"",IF(ISBLANK(DATA!E298),DATA2!G298,"Flag override " &amp; TEXT(DATA!E298,"mm/dd/yyyy hh:mm"))))</f>
        <v/>
      </c>
      <c r="H298" s="25" t="str">
        <f>IF(DATA!$G298&gt;0,TEXT(DATA!G298,"mm/dd/yyyy hh:mm"),"")</f>
        <v/>
      </c>
      <c r="I298" s="21"/>
    </row>
    <row r="299" spans="2:9" ht="23.25" x14ac:dyDescent="0.25">
      <c r="B299" s="25" t="str">
        <f t="shared" si="7"/>
        <v/>
      </c>
      <c r="C299" s="25" t="str">
        <f>IF(NOT(ISBLANK(DATA2!C299)),DATA2!C299,"")</f>
        <v/>
      </c>
      <c r="D299" s="25" t="str">
        <f>IF(NOT(ISBLANK(DATA2!D299)),DATA2!D299,"")</f>
        <v/>
      </c>
      <c r="E299" s="26" t="str">
        <f>IF(ISBLANK(DATA2!E299),"",IF(ISBLANK(DATA!C299),DATA2!E299,"Flag override: " &amp; TEXT(DATA!C299, "mm/dd/yyyy hh:mm") ))</f>
        <v/>
      </c>
      <c r="F299" s="27" t="str">
        <f>IF(ISBLANK(DATA2!F299),"",IF(ISBLANK(DATA!D299),DATA2!F299,"Flag override " &amp; TEXT(DATA!D299, "mm/dd/yyyy hh:mm")))</f>
        <v/>
      </c>
      <c r="G299" s="27" t="str">
        <f>IF(DATA2!G299 = 0, "", IF(ISBLANK(DATA2!G299),"",IF(ISBLANK(DATA!E299),DATA2!G299,"Flag override " &amp; TEXT(DATA!E299,"mm/dd/yyyy hh:mm"))))</f>
        <v/>
      </c>
      <c r="H299" s="25" t="str">
        <f>IF(DATA!$G299&gt;0,TEXT(DATA!G299,"mm/dd/yyyy hh:mm"),"")</f>
        <v/>
      </c>
      <c r="I299" s="21"/>
    </row>
    <row r="300" spans="2:9" ht="23.25" x14ac:dyDescent="0.25">
      <c r="B300" s="25" t="str">
        <f t="shared" si="7"/>
        <v/>
      </c>
      <c r="C300" s="25" t="str">
        <f>IF(NOT(ISBLANK(DATA2!C300)),DATA2!C300,"")</f>
        <v/>
      </c>
      <c r="D300" s="25" t="str">
        <f>IF(NOT(ISBLANK(DATA2!D300)),DATA2!D300,"")</f>
        <v/>
      </c>
      <c r="E300" s="26" t="str">
        <f>IF(ISBLANK(DATA2!E300),"",IF(ISBLANK(DATA!C300),DATA2!E300,"Flag override: " &amp; TEXT(DATA!C300, "mm/dd/yyyy hh:mm") ))</f>
        <v/>
      </c>
      <c r="F300" s="27" t="str">
        <f>IF(ISBLANK(DATA2!F300),"",IF(ISBLANK(DATA!D300),DATA2!F300,"Flag override " &amp; TEXT(DATA!D300, "mm/dd/yyyy hh:mm")))</f>
        <v/>
      </c>
      <c r="G300" s="27" t="str">
        <f>IF(DATA2!G300 = 0, "", IF(ISBLANK(DATA2!G300),"",IF(ISBLANK(DATA!E300),DATA2!G300,"Flag override " &amp; TEXT(DATA!E300,"mm/dd/yyyy hh:mm"))))</f>
        <v/>
      </c>
      <c r="H300" s="25" t="str">
        <f>IF(DATA!$G300&gt;0,TEXT(DATA!G300,"mm/dd/yyyy hh:mm"),"")</f>
        <v/>
      </c>
      <c r="I300" s="21"/>
    </row>
    <row r="301" spans="2:9" ht="23.25" x14ac:dyDescent="0.25">
      <c r="B301" s="25" t="str">
        <f t="shared" si="7"/>
        <v/>
      </c>
      <c r="C301" s="25" t="str">
        <f>IF(NOT(ISBLANK(DATA2!C301)),DATA2!C301,"")</f>
        <v/>
      </c>
      <c r="D301" s="25" t="str">
        <f>IF(NOT(ISBLANK(DATA2!D301)),DATA2!D301,"")</f>
        <v/>
      </c>
      <c r="E301" s="26" t="str">
        <f>IF(ISBLANK(DATA2!E301),"",IF(ISBLANK(DATA!C301),DATA2!E301,"Flag override: " &amp; TEXT(DATA!C301, "mm/dd/yyyy hh:mm") ))</f>
        <v/>
      </c>
      <c r="F301" s="27" t="str">
        <f>IF(ISBLANK(DATA2!F301),"",IF(ISBLANK(DATA!D301),DATA2!F301,"Flag override " &amp; TEXT(DATA!D301, "mm/dd/yyyy hh:mm")))</f>
        <v/>
      </c>
      <c r="G301" s="27" t="str">
        <f>IF(DATA2!G301 = 0, "", IF(ISBLANK(DATA2!G301),"",IF(ISBLANK(DATA!E301),DATA2!G301,"Flag override " &amp; TEXT(DATA!E301,"mm/dd/yyyy hh:mm"))))</f>
        <v/>
      </c>
      <c r="H301" s="25" t="str">
        <f>IF(DATA!$G301&gt;0,TEXT(DATA!G301,"mm/dd/yyyy hh:mm"),"")</f>
        <v/>
      </c>
      <c r="I301" s="21"/>
    </row>
    <row r="302" spans="2:9" ht="23.25" x14ac:dyDescent="0.25">
      <c r="B302" s="25" t="str">
        <f t="shared" si="7"/>
        <v/>
      </c>
      <c r="C302" s="25" t="str">
        <f>IF(NOT(ISBLANK(DATA2!C302)),DATA2!C302,"")</f>
        <v/>
      </c>
      <c r="D302" s="25" t="str">
        <f>IF(NOT(ISBLANK(DATA2!D302)),DATA2!D302,"")</f>
        <v/>
      </c>
      <c r="E302" s="26" t="str">
        <f>IF(ISBLANK(DATA2!E302),"",IF(ISBLANK(DATA!C302),DATA2!E302,"Flag override: " &amp; TEXT(DATA!C302, "mm/dd/yyyy hh:mm") ))</f>
        <v/>
      </c>
      <c r="F302" s="27" t="str">
        <f>IF(ISBLANK(DATA2!F302),"",IF(ISBLANK(DATA!D302),DATA2!F302,"Flag override " &amp; TEXT(DATA!D302, "mm/dd/yyyy hh:mm")))</f>
        <v/>
      </c>
      <c r="G302" s="27" t="str">
        <f>IF(DATA2!G302 = 0, "", IF(ISBLANK(DATA2!G302),"",IF(ISBLANK(DATA!E302),DATA2!G302,"Flag override " &amp; TEXT(DATA!E302,"mm/dd/yyyy hh:mm"))))</f>
        <v/>
      </c>
      <c r="H302" s="25" t="str">
        <f>IF(DATA!$G302&gt;0,TEXT(DATA!G302,"mm/dd/yyyy hh:mm"),"")</f>
        <v/>
      </c>
      <c r="I302" s="21"/>
    </row>
    <row r="303" spans="2:9" ht="23.25" x14ac:dyDescent="0.25">
      <c r="B303" s="25" t="str">
        <f t="shared" si="7"/>
        <v/>
      </c>
      <c r="C303" s="25" t="str">
        <f>IF(NOT(ISBLANK(DATA2!C303)),DATA2!C303,"")</f>
        <v/>
      </c>
      <c r="D303" s="25" t="str">
        <f>IF(NOT(ISBLANK(DATA2!D303)),DATA2!D303,"")</f>
        <v/>
      </c>
      <c r="E303" s="26" t="str">
        <f>IF(ISBLANK(DATA2!E303),"",IF(ISBLANK(DATA!C303),DATA2!E303,"Flag override: " &amp; TEXT(DATA!C303, "mm/dd/yyyy hh:mm") ))</f>
        <v/>
      </c>
      <c r="F303" s="27" t="str">
        <f>IF(ISBLANK(DATA2!F303),"",IF(ISBLANK(DATA!D303),DATA2!F303,"Flag override " &amp; TEXT(DATA!D303, "mm/dd/yyyy hh:mm")))</f>
        <v/>
      </c>
      <c r="G303" s="27" t="str">
        <f>IF(DATA2!G303 = 0, "", IF(ISBLANK(DATA2!G303),"",IF(ISBLANK(DATA!E303),DATA2!G303,"Flag override " &amp; TEXT(DATA!E303,"mm/dd/yyyy hh:mm"))))</f>
        <v/>
      </c>
      <c r="H303" s="25" t="str">
        <f>IF(DATA!$G303&gt;0,TEXT(DATA!G303,"mm/dd/yyyy hh:mm"),"")</f>
        <v/>
      </c>
      <c r="I303" s="21"/>
    </row>
    <row r="304" spans="2:9" ht="23.25" x14ac:dyDescent="0.25">
      <c r="B304" s="25" t="str">
        <f t="shared" si="7"/>
        <v/>
      </c>
      <c r="C304" s="25" t="str">
        <f>IF(NOT(ISBLANK(DATA2!C304)),DATA2!C304,"")</f>
        <v/>
      </c>
      <c r="D304" s="25" t="str">
        <f>IF(NOT(ISBLANK(DATA2!D304)),DATA2!D304,"")</f>
        <v/>
      </c>
      <c r="E304" s="26" t="str">
        <f>IF(ISBLANK(DATA2!E304),"",IF(ISBLANK(DATA!C304),DATA2!E304,"Flag override: " &amp; TEXT(DATA!C304, "mm/dd/yyyy hh:mm") ))</f>
        <v/>
      </c>
      <c r="F304" s="27" t="str">
        <f>IF(ISBLANK(DATA2!F304),"",IF(ISBLANK(DATA!D304),DATA2!F304,"Flag override " &amp; TEXT(DATA!D304, "mm/dd/yyyy hh:mm")))</f>
        <v/>
      </c>
      <c r="G304" s="27" t="str">
        <f>IF(DATA2!G304 = 0, "", IF(ISBLANK(DATA2!G304),"",IF(ISBLANK(DATA!E304),DATA2!G304,"Flag override " &amp; TEXT(DATA!E304,"mm/dd/yyyy hh:mm"))))</f>
        <v/>
      </c>
      <c r="H304" s="25" t="str">
        <f>IF(DATA!$G304&gt;0,TEXT(DATA!G304,"mm/dd/yyyy hh:mm"),"")</f>
        <v/>
      </c>
      <c r="I304" s="21"/>
    </row>
    <row r="305" spans="2:9" ht="23.25" x14ac:dyDescent="0.25">
      <c r="B305" s="25" t="str">
        <f t="shared" si="7"/>
        <v/>
      </c>
      <c r="C305" s="25" t="str">
        <f>IF(NOT(ISBLANK(DATA2!C305)),DATA2!C305,"")</f>
        <v/>
      </c>
      <c r="D305" s="25" t="str">
        <f>IF(NOT(ISBLANK(DATA2!D305)),DATA2!D305,"")</f>
        <v/>
      </c>
      <c r="E305" s="26" t="str">
        <f>IF(ISBLANK(DATA2!E305),"",IF(ISBLANK(DATA!C305),DATA2!E305,"Flag override: " &amp; TEXT(DATA!C305, "mm/dd/yyyy hh:mm") ))</f>
        <v/>
      </c>
      <c r="F305" s="27" t="str">
        <f>IF(ISBLANK(DATA2!F305),"",IF(ISBLANK(DATA!D305),DATA2!F305,"Flag override " &amp; TEXT(DATA!D305, "mm/dd/yyyy hh:mm")))</f>
        <v/>
      </c>
      <c r="G305" s="27" t="str">
        <f>IF(DATA2!G305 = 0, "", IF(ISBLANK(DATA2!G305),"",IF(ISBLANK(DATA!E305),DATA2!G305,"Flag override " &amp; TEXT(DATA!E305,"mm/dd/yyyy hh:mm"))))</f>
        <v/>
      </c>
      <c r="H305" s="25" t="str">
        <f>IF(DATA!$G305&gt;0,TEXT(DATA!G305,"mm/dd/yyyy hh:mm"),"")</f>
        <v/>
      </c>
      <c r="I305" s="21"/>
    </row>
    <row r="306" spans="2:9" ht="23.25" x14ac:dyDescent="0.25">
      <c r="B306" s="25" t="str">
        <f t="shared" si="7"/>
        <v/>
      </c>
      <c r="C306" s="25" t="str">
        <f>IF(NOT(ISBLANK(DATA2!C306)),DATA2!C306,"")</f>
        <v/>
      </c>
      <c r="D306" s="25" t="str">
        <f>IF(NOT(ISBLANK(DATA2!D306)),DATA2!D306,"")</f>
        <v/>
      </c>
      <c r="E306" s="26" t="str">
        <f>IF(ISBLANK(DATA2!E306),"",IF(ISBLANK(DATA!C306),DATA2!E306,"Flag override: " &amp; TEXT(DATA!C306, "mm/dd/yyyy hh:mm") ))</f>
        <v/>
      </c>
      <c r="F306" s="27" t="str">
        <f>IF(ISBLANK(DATA2!F306),"",IF(ISBLANK(DATA!D306),DATA2!F306,"Flag override " &amp; TEXT(DATA!D306, "mm/dd/yyyy hh:mm")))</f>
        <v/>
      </c>
      <c r="G306" s="27" t="str">
        <f>IF(DATA2!G306 = 0, "", IF(ISBLANK(DATA2!G306),"",IF(ISBLANK(DATA!E306),DATA2!G306,"Flag override " &amp; TEXT(DATA!E306,"mm/dd/yyyy hh:mm"))))</f>
        <v/>
      </c>
      <c r="H306" s="25" t="str">
        <f>IF(DATA!$G306&gt;0,TEXT(DATA!G306,"mm/dd/yyyy hh:mm"),"")</f>
        <v/>
      </c>
      <c r="I306" s="21"/>
    </row>
    <row r="307" spans="2:9" ht="23.25" x14ac:dyDescent="0.25">
      <c r="B307" s="25" t="str">
        <f t="shared" si="7"/>
        <v/>
      </c>
      <c r="C307" s="25" t="str">
        <f>IF(NOT(ISBLANK(DATA2!C307)),DATA2!C307,"")</f>
        <v/>
      </c>
      <c r="D307" s="25" t="str">
        <f>IF(NOT(ISBLANK(DATA2!D307)),DATA2!D307,"")</f>
        <v/>
      </c>
      <c r="E307" s="26" t="str">
        <f>IF(ISBLANK(DATA2!E307),"",IF(ISBLANK(DATA!C307),DATA2!E307,"Flag override: " &amp; TEXT(DATA!C307, "mm/dd/yyyy hh:mm") ))</f>
        <v/>
      </c>
      <c r="F307" s="27" t="str">
        <f>IF(ISBLANK(DATA2!F307),"",IF(ISBLANK(DATA!D307),DATA2!F307,"Flag override " &amp; TEXT(DATA!D307, "mm/dd/yyyy hh:mm")))</f>
        <v/>
      </c>
      <c r="G307" s="27" t="str">
        <f>IF(DATA2!G307 = 0, "", IF(ISBLANK(DATA2!G307),"",IF(ISBLANK(DATA!E307),DATA2!G307,"Flag override " &amp; TEXT(DATA!E307,"mm/dd/yyyy hh:mm"))))</f>
        <v/>
      </c>
      <c r="H307" s="25" t="str">
        <f>IF(DATA!$G307&gt;0,TEXT(DATA!G307,"mm/dd/yyyy hh:mm"),"")</f>
        <v/>
      </c>
      <c r="I307" s="21"/>
    </row>
    <row r="308" spans="2:9" ht="23.25" x14ac:dyDescent="0.25">
      <c r="B308" s="25" t="str">
        <f t="shared" si="7"/>
        <v/>
      </c>
      <c r="C308" s="25" t="str">
        <f>IF(NOT(ISBLANK(DATA2!C308)),DATA2!C308,"")</f>
        <v/>
      </c>
      <c r="D308" s="25" t="str">
        <f>IF(NOT(ISBLANK(DATA2!D308)),DATA2!D308,"")</f>
        <v/>
      </c>
      <c r="E308" s="26" t="str">
        <f>IF(ISBLANK(DATA2!E308),"",IF(ISBLANK(DATA!C308),DATA2!E308,"Flag override: " &amp; TEXT(DATA!C308, "mm/dd/yyyy hh:mm") ))</f>
        <v/>
      </c>
      <c r="F308" s="27" t="str">
        <f>IF(ISBLANK(DATA2!F308),"",IF(ISBLANK(DATA!D308),DATA2!F308,"Flag override " &amp; TEXT(DATA!D308, "mm/dd/yyyy hh:mm")))</f>
        <v/>
      </c>
      <c r="G308" s="27" t="str">
        <f>IF(DATA2!G308 = 0, "", IF(ISBLANK(DATA2!G308),"",IF(ISBLANK(DATA!E308),DATA2!G308,"Flag override " &amp; TEXT(DATA!E308,"mm/dd/yyyy hh:mm"))))</f>
        <v/>
      </c>
      <c r="H308" s="25" t="str">
        <f>IF(DATA!$G308&gt;0,TEXT(DATA!G308,"mm/dd/yyyy hh:mm"),"")</f>
        <v/>
      </c>
      <c r="I308" s="21"/>
    </row>
    <row r="309" spans="2:9" ht="23.25" x14ac:dyDescent="0.25">
      <c r="B309" s="25" t="str">
        <f t="shared" si="7"/>
        <v/>
      </c>
      <c r="C309" s="25" t="str">
        <f>IF(NOT(ISBLANK(DATA2!C309)),DATA2!C309,"")</f>
        <v/>
      </c>
      <c r="D309" s="25" t="str">
        <f>IF(NOT(ISBLANK(DATA2!D309)),DATA2!D309,"")</f>
        <v/>
      </c>
      <c r="E309" s="26" t="str">
        <f>IF(ISBLANK(DATA2!E309),"",IF(ISBLANK(DATA!C309),DATA2!E309,"Flag override: " &amp; TEXT(DATA!C309, "mm/dd/yyyy hh:mm") ))</f>
        <v/>
      </c>
      <c r="F309" s="27" t="str">
        <f>IF(ISBLANK(DATA2!F309),"",IF(ISBLANK(DATA!D309),DATA2!F309,"Flag override " &amp; TEXT(DATA!D309, "mm/dd/yyyy hh:mm")))</f>
        <v/>
      </c>
      <c r="G309" s="27" t="str">
        <f>IF(DATA2!G309 = 0, "", IF(ISBLANK(DATA2!G309),"",IF(ISBLANK(DATA!E309),DATA2!G309,"Flag override " &amp; TEXT(DATA!E309,"mm/dd/yyyy hh:mm"))))</f>
        <v/>
      </c>
      <c r="H309" s="25" t="str">
        <f>IF(DATA!$G309&gt;0,TEXT(DATA!G309,"mm/dd/yyyy hh:mm"),"")</f>
        <v/>
      </c>
      <c r="I309" s="21"/>
    </row>
    <row r="310" spans="2:9" ht="23.25" x14ac:dyDescent="0.25">
      <c r="B310" s="25" t="str">
        <f t="shared" si="7"/>
        <v/>
      </c>
      <c r="C310" s="25" t="str">
        <f>IF(NOT(ISBLANK(DATA2!C310)),DATA2!C310,"")</f>
        <v/>
      </c>
      <c r="D310" s="25" t="str">
        <f>IF(NOT(ISBLANK(DATA2!D310)),DATA2!D310,"")</f>
        <v/>
      </c>
      <c r="E310" s="26" t="str">
        <f>IF(ISBLANK(DATA2!E310),"",IF(ISBLANK(DATA!C310),DATA2!E310,"Flag override: " &amp; TEXT(DATA!C310, "mm/dd/yyyy hh:mm") ))</f>
        <v/>
      </c>
      <c r="F310" s="27" t="str">
        <f>IF(ISBLANK(DATA2!F310),"",IF(ISBLANK(DATA!D310),DATA2!F310,"Flag override " &amp; TEXT(DATA!D310, "mm/dd/yyyy hh:mm")))</f>
        <v/>
      </c>
      <c r="G310" s="27" t="str">
        <f>IF(DATA2!G310 = 0, "", IF(ISBLANK(DATA2!G310),"",IF(ISBLANK(DATA!E310),DATA2!G310,"Flag override " &amp; TEXT(DATA!E310,"mm/dd/yyyy hh:mm"))))</f>
        <v/>
      </c>
      <c r="H310" s="25" t="str">
        <f>IF(DATA!$G310&gt;0,TEXT(DATA!G310,"mm/dd/yyyy hh:mm"),"")</f>
        <v/>
      </c>
      <c r="I310" s="21"/>
    </row>
    <row r="311" spans="2:9" ht="23.25" x14ac:dyDescent="0.25">
      <c r="B311" s="25" t="str">
        <f t="shared" si="7"/>
        <v/>
      </c>
      <c r="C311" s="25" t="str">
        <f>IF(NOT(ISBLANK(DATA2!C311)),DATA2!C311,"")</f>
        <v/>
      </c>
      <c r="D311" s="25" t="str">
        <f>IF(NOT(ISBLANK(DATA2!D311)),DATA2!D311,"")</f>
        <v/>
      </c>
      <c r="E311" s="26" t="str">
        <f>IF(ISBLANK(DATA2!E311),"",IF(ISBLANK(DATA!C311),DATA2!E311,"Flag override: " &amp; TEXT(DATA!C311, "mm/dd/yyyy hh:mm") ))</f>
        <v/>
      </c>
      <c r="F311" s="27" t="str">
        <f>IF(ISBLANK(DATA2!F311),"",IF(ISBLANK(DATA!D311),DATA2!F311,"Flag override " &amp; TEXT(DATA!D311, "mm/dd/yyyy hh:mm")))</f>
        <v/>
      </c>
      <c r="G311" s="27" t="str">
        <f>IF(DATA2!G311 = 0, "", IF(ISBLANK(DATA2!G311),"",IF(ISBLANK(DATA!E311),DATA2!G311,"Flag override " &amp; TEXT(DATA!E311,"mm/dd/yyyy hh:mm"))))</f>
        <v/>
      </c>
      <c r="H311" s="25" t="str">
        <f>IF(DATA!$G311&gt;0,TEXT(DATA!G311,"mm/dd/yyyy hh:mm"),"")</f>
        <v/>
      </c>
      <c r="I311" s="21"/>
    </row>
    <row r="312" spans="2:9" ht="23.25" x14ac:dyDescent="0.25">
      <c r="B312" s="25" t="str">
        <f t="shared" si="7"/>
        <v/>
      </c>
      <c r="C312" s="25" t="str">
        <f>IF(NOT(ISBLANK(DATA2!C312)),DATA2!C312,"")</f>
        <v/>
      </c>
      <c r="D312" s="25" t="str">
        <f>IF(NOT(ISBLANK(DATA2!D312)),DATA2!D312,"")</f>
        <v/>
      </c>
      <c r="E312" s="26" t="str">
        <f>IF(ISBLANK(DATA2!E312),"",IF(ISBLANK(DATA!C312),DATA2!E312,"Flag override: " &amp; TEXT(DATA!C312, "mm/dd/yyyy hh:mm") ))</f>
        <v/>
      </c>
      <c r="F312" s="27" t="str">
        <f>IF(ISBLANK(DATA2!F312),"",IF(ISBLANK(DATA!D312),DATA2!F312,"Flag override " &amp; TEXT(DATA!D312, "mm/dd/yyyy hh:mm")))</f>
        <v/>
      </c>
      <c r="G312" s="27" t="str">
        <f>IF(DATA2!G312 = 0, "", IF(ISBLANK(DATA2!G312),"",IF(ISBLANK(DATA!E312),DATA2!G312,"Flag override " &amp; TEXT(DATA!E312,"mm/dd/yyyy hh:mm"))))</f>
        <v/>
      </c>
      <c r="H312" s="25" t="str">
        <f>IF(DATA!$G312&gt;0,TEXT(DATA!G312,"mm/dd/yyyy hh:mm"),"")</f>
        <v/>
      </c>
      <c r="I312" s="21"/>
    </row>
    <row r="313" spans="2:9" ht="23.25" x14ac:dyDescent="0.25">
      <c r="B313" s="25" t="str">
        <f t="shared" si="7"/>
        <v/>
      </c>
      <c r="C313" s="25" t="str">
        <f>IF(NOT(ISBLANK(DATA2!C313)),DATA2!C313,"")</f>
        <v/>
      </c>
      <c r="D313" s="25" t="str">
        <f>IF(NOT(ISBLANK(DATA2!D313)),DATA2!D313,"")</f>
        <v/>
      </c>
      <c r="E313" s="26" t="str">
        <f>IF(ISBLANK(DATA2!E313),"",IF(ISBLANK(DATA!C313),DATA2!E313,"Flag override: " &amp; TEXT(DATA!C313, "mm/dd/yyyy hh:mm") ))</f>
        <v/>
      </c>
      <c r="F313" s="27" t="str">
        <f>IF(ISBLANK(DATA2!F313),"",IF(ISBLANK(DATA!D313),DATA2!F313,"Flag override " &amp; TEXT(DATA!D313, "mm/dd/yyyy hh:mm")))</f>
        <v/>
      </c>
      <c r="G313" s="27" t="str">
        <f>IF(DATA2!G313 = 0, "", IF(ISBLANK(DATA2!G313),"",IF(ISBLANK(DATA!E313),DATA2!G313,"Flag override " &amp; TEXT(DATA!E313,"mm/dd/yyyy hh:mm"))))</f>
        <v/>
      </c>
      <c r="H313" s="25" t="str">
        <f>IF(DATA!$G313&gt;0,TEXT(DATA!G313,"mm/dd/yyyy hh:mm"),"")</f>
        <v/>
      </c>
      <c r="I313" s="21"/>
    </row>
    <row r="314" spans="2:9" ht="23.25" x14ac:dyDescent="0.25">
      <c r="B314" s="25" t="str">
        <f t="shared" si="7"/>
        <v/>
      </c>
      <c r="C314" s="25" t="str">
        <f>IF(NOT(ISBLANK(DATA2!C314)),DATA2!C314,"")</f>
        <v/>
      </c>
      <c r="D314" s="25" t="str">
        <f>IF(NOT(ISBLANK(DATA2!D314)),DATA2!D314,"")</f>
        <v/>
      </c>
      <c r="E314" s="26" t="str">
        <f>IF(ISBLANK(DATA2!E314),"",IF(ISBLANK(DATA!C314),DATA2!E314,"Flag override: " &amp; TEXT(DATA!C314, "mm/dd/yyyy hh:mm") ))</f>
        <v/>
      </c>
      <c r="F314" s="27" t="str">
        <f>IF(ISBLANK(DATA2!F314),"",IF(ISBLANK(DATA!D314),DATA2!F314,"Flag override " &amp; TEXT(DATA!D314, "mm/dd/yyyy hh:mm")))</f>
        <v/>
      </c>
      <c r="G314" s="27" t="str">
        <f>IF(DATA2!G314 = 0, "", IF(ISBLANK(DATA2!G314),"",IF(ISBLANK(DATA!E314),DATA2!G314,"Flag override " &amp; TEXT(DATA!E314,"mm/dd/yyyy hh:mm"))))</f>
        <v/>
      </c>
      <c r="H314" s="25" t="str">
        <f>IF(DATA!$G314&gt;0,TEXT(DATA!G314,"mm/dd/yyyy hh:mm"),"")</f>
        <v/>
      </c>
      <c r="I314" s="21"/>
    </row>
    <row r="315" spans="2:9" ht="23.25" x14ac:dyDescent="0.25">
      <c r="B315" s="25" t="str">
        <f t="shared" si="7"/>
        <v/>
      </c>
      <c r="C315" s="25" t="str">
        <f>IF(NOT(ISBLANK(DATA2!C315)),DATA2!C315,"")</f>
        <v/>
      </c>
      <c r="D315" s="25" t="str">
        <f>IF(NOT(ISBLANK(DATA2!D315)),DATA2!D315,"")</f>
        <v/>
      </c>
      <c r="E315" s="26" t="str">
        <f>IF(ISBLANK(DATA2!E315),"",IF(ISBLANK(DATA!C315),DATA2!E315,"Flag override: " &amp; TEXT(DATA!C315, "mm/dd/yyyy hh:mm") ))</f>
        <v/>
      </c>
      <c r="F315" s="27" t="str">
        <f>IF(ISBLANK(DATA2!F315),"",IF(ISBLANK(DATA!D315),DATA2!F315,"Flag override " &amp; TEXT(DATA!D315, "mm/dd/yyyy hh:mm")))</f>
        <v/>
      </c>
      <c r="G315" s="27" t="str">
        <f>IF(DATA2!G315 = 0, "", IF(ISBLANK(DATA2!G315),"",IF(ISBLANK(DATA!E315),DATA2!G315,"Flag override " &amp; TEXT(DATA!E315,"mm/dd/yyyy hh:mm"))))</f>
        <v/>
      </c>
      <c r="H315" s="25" t="str">
        <f>IF(DATA!$G315&gt;0,TEXT(DATA!G315,"mm/dd/yyyy hh:mm"),"")</f>
        <v/>
      </c>
      <c r="I315" s="21"/>
    </row>
    <row r="316" spans="2:9" ht="23.25" x14ac:dyDescent="0.25">
      <c r="B316" s="25" t="str">
        <f t="shared" si="7"/>
        <v/>
      </c>
      <c r="C316" s="25" t="str">
        <f>IF(NOT(ISBLANK(DATA2!C316)),DATA2!C316,"")</f>
        <v/>
      </c>
      <c r="D316" s="25" t="str">
        <f>IF(NOT(ISBLANK(DATA2!D316)),DATA2!D316,"")</f>
        <v/>
      </c>
      <c r="E316" s="26" t="str">
        <f>IF(ISBLANK(DATA2!E316),"",IF(ISBLANK(DATA!C316),DATA2!E316,"Flag override: " &amp; TEXT(DATA!C316, "mm/dd/yyyy hh:mm") ))</f>
        <v/>
      </c>
      <c r="F316" s="27" t="str">
        <f>IF(ISBLANK(DATA2!F316),"",IF(ISBLANK(DATA!D316),DATA2!F316,"Flag override " &amp; TEXT(DATA!D316, "mm/dd/yyyy hh:mm")))</f>
        <v/>
      </c>
      <c r="G316" s="27" t="str">
        <f>IF(DATA2!G316 = 0, "", IF(ISBLANK(DATA2!G316),"",IF(ISBLANK(DATA!E316),DATA2!G316,"Flag override " &amp; TEXT(DATA!E316,"mm/dd/yyyy hh:mm"))))</f>
        <v/>
      </c>
      <c r="H316" s="25" t="str">
        <f>IF(DATA!$G316&gt;0,TEXT(DATA!G316,"mm/dd/yyyy hh:mm"),"")</f>
        <v/>
      </c>
      <c r="I316" s="21"/>
    </row>
    <row r="317" spans="2:9" ht="23.25" x14ac:dyDescent="0.25">
      <c r="B317" s="25" t="str">
        <f t="shared" si="7"/>
        <v/>
      </c>
      <c r="C317" s="25" t="str">
        <f>IF(NOT(ISBLANK(DATA2!C317)),DATA2!C317,"")</f>
        <v/>
      </c>
      <c r="D317" s="25" t="str">
        <f>IF(NOT(ISBLANK(DATA2!D317)),DATA2!D317,"")</f>
        <v/>
      </c>
      <c r="E317" s="26" t="str">
        <f>IF(ISBLANK(DATA2!E317),"",IF(ISBLANK(DATA!C317),DATA2!E317,"Flag override: " &amp; TEXT(DATA!C317, "mm/dd/yyyy hh:mm") ))</f>
        <v/>
      </c>
      <c r="F317" s="27" t="str">
        <f>IF(ISBLANK(DATA2!F317),"",IF(ISBLANK(DATA!D317),DATA2!F317,"Flag override " &amp; TEXT(DATA!D317, "mm/dd/yyyy hh:mm")))</f>
        <v/>
      </c>
      <c r="G317" s="27" t="str">
        <f>IF(DATA2!G317 = 0, "", IF(ISBLANK(DATA2!G317),"",IF(ISBLANK(DATA!E317),DATA2!G317,"Flag override " &amp; TEXT(DATA!E317,"mm/dd/yyyy hh:mm"))))</f>
        <v/>
      </c>
      <c r="H317" s="25" t="str">
        <f>IF(DATA!$G317&gt;0,TEXT(DATA!G317,"mm/dd/yyyy hh:mm"),"")</f>
        <v/>
      </c>
      <c r="I317" s="21"/>
    </row>
    <row r="318" spans="2:9" ht="23.25" x14ac:dyDescent="0.25">
      <c r="B318" s="25" t="str">
        <f t="shared" si="7"/>
        <v/>
      </c>
      <c r="C318" s="25" t="str">
        <f>IF(NOT(ISBLANK(DATA2!C318)),DATA2!C318,"")</f>
        <v/>
      </c>
      <c r="D318" s="25" t="str">
        <f>IF(NOT(ISBLANK(DATA2!D318)),DATA2!D318,"")</f>
        <v/>
      </c>
      <c r="E318" s="26" t="str">
        <f>IF(ISBLANK(DATA2!E318),"",IF(ISBLANK(DATA!C318),DATA2!E318,"Flag override: " &amp; TEXT(DATA!C318, "mm/dd/yyyy hh:mm") ))</f>
        <v/>
      </c>
      <c r="F318" s="27" t="str">
        <f>IF(ISBLANK(DATA2!F318),"",IF(ISBLANK(DATA!D318),DATA2!F318,"Flag override " &amp; TEXT(DATA!D318, "mm/dd/yyyy hh:mm")))</f>
        <v/>
      </c>
      <c r="G318" s="27" t="str">
        <f>IF(DATA2!G318 = 0, "", IF(ISBLANK(DATA2!G318),"",IF(ISBLANK(DATA!E318),DATA2!G318,"Flag override " &amp; TEXT(DATA!E318,"mm/dd/yyyy hh:mm"))))</f>
        <v/>
      </c>
      <c r="H318" s="25" t="str">
        <f>IF(DATA!$G318&gt;0,TEXT(DATA!G318,"mm/dd/yyyy hh:mm"),"")</f>
        <v/>
      </c>
      <c r="I318" s="21"/>
    </row>
    <row r="319" spans="2:9" ht="23.25" x14ac:dyDescent="0.25">
      <c r="B319" s="25" t="str">
        <f t="shared" si="7"/>
        <v/>
      </c>
      <c r="C319" s="25" t="str">
        <f>IF(NOT(ISBLANK(DATA2!C319)),DATA2!C319,"")</f>
        <v/>
      </c>
      <c r="D319" s="25" t="str">
        <f>IF(NOT(ISBLANK(DATA2!D319)),DATA2!D319,"")</f>
        <v/>
      </c>
      <c r="E319" s="26" t="str">
        <f>IF(ISBLANK(DATA2!E319),"",IF(ISBLANK(DATA!C319),DATA2!E319,"Flag override: " &amp; TEXT(DATA!C319, "mm/dd/yyyy hh:mm") ))</f>
        <v/>
      </c>
      <c r="F319" s="27" t="str">
        <f>IF(ISBLANK(DATA2!F319),"",IF(ISBLANK(DATA!D319),DATA2!F319,"Flag override " &amp; TEXT(DATA!D319, "mm/dd/yyyy hh:mm")))</f>
        <v/>
      </c>
      <c r="G319" s="27" t="str">
        <f>IF(DATA2!G319 = 0, "", IF(ISBLANK(DATA2!G319),"",IF(ISBLANK(DATA!E319),DATA2!G319,"Flag override " &amp; TEXT(DATA!E319,"mm/dd/yyyy hh:mm"))))</f>
        <v/>
      </c>
      <c r="H319" s="25" t="str">
        <f>IF(DATA!$G319&gt;0,TEXT(DATA!G319,"mm/dd/yyyy hh:mm"),"")</f>
        <v/>
      </c>
      <c r="I319" s="21"/>
    </row>
    <row r="320" spans="2:9" ht="23.25" x14ac:dyDescent="0.25">
      <c r="B320" s="25" t="str">
        <f t="shared" si="7"/>
        <v/>
      </c>
      <c r="C320" s="25" t="str">
        <f>IF(NOT(ISBLANK(DATA2!C320)),DATA2!C320,"")</f>
        <v/>
      </c>
      <c r="D320" s="25" t="str">
        <f>IF(NOT(ISBLANK(DATA2!D320)),DATA2!D320,"")</f>
        <v/>
      </c>
      <c r="E320" s="26" t="str">
        <f>IF(ISBLANK(DATA2!E320),"",IF(ISBLANK(DATA!C320),DATA2!E320,"Flag override: " &amp; TEXT(DATA!C320, "mm/dd/yyyy hh:mm") ))</f>
        <v/>
      </c>
      <c r="F320" s="27" t="str">
        <f>IF(ISBLANK(DATA2!F320),"",IF(ISBLANK(DATA!D320),DATA2!F320,"Flag override " &amp; TEXT(DATA!D320, "mm/dd/yyyy hh:mm")))</f>
        <v/>
      </c>
      <c r="G320" s="27" t="str">
        <f>IF(DATA2!G320 = 0, "", IF(ISBLANK(DATA2!G320),"",IF(ISBLANK(DATA!E320),DATA2!G320,"Flag override " &amp; TEXT(DATA!E320,"mm/dd/yyyy hh:mm"))))</f>
        <v/>
      </c>
      <c r="H320" s="25" t="str">
        <f>IF(DATA!$G320&gt;0,TEXT(DATA!G320,"mm/dd/yyyy hh:mm"),"")</f>
        <v/>
      </c>
      <c r="I320" s="21"/>
    </row>
    <row r="321" spans="2:9" ht="23.25" x14ac:dyDescent="0.25">
      <c r="B321" s="25" t="str">
        <f t="shared" si="7"/>
        <v/>
      </c>
      <c r="C321" s="25" t="str">
        <f>IF(NOT(ISBLANK(DATA2!C321)),DATA2!C321,"")</f>
        <v/>
      </c>
      <c r="D321" s="25" t="str">
        <f>IF(NOT(ISBLANK(DATA2!D321)),DATA2!D321,"")</f>
        <v/>
      </c>
      <c r="E321" s="26" t="str">
        <f>IF(ISBLANK(DATA2!E321),"",IF(ISBLANK(DATA!C321),DATA2!E321,"Flag override: " &amp; TEXT(DATA!C321, "mm/dd/yyyy hh:mm") ))</f>
        <v/>
      </c>
      <c r="F321" s="27" t="str">
        <f>IF(ISBLANK(DATA2!F321),"",IF(ISBLANK(DATA!D321),DATA2!F321,"Flag override " &amp; TEXT(DATA!D321, "mm/dd/yyyy hh:mm")))</f>
        <v/>
      </c>
      <c r="G321" s="27" t="str">
        <f>IF(DATA2!G321 = 0, "", IF(ISBLANK(DATA2!G321),"",IF(ISBLANK(DATA!E321),DATA2!G321,"Flag override " &amp; TEXT(DATA!E321,"mm/dd/yyyy hh:mm"))))</f>
        <v/>
      </c>
      <c r="H321" s="25" t="str">
        <f>IF(DATA!$G321&gt;0,TEXT(DATA!G321,"mm/dd/yyyy hh:mm"),"")</f>
        <v/>
      </c>
      <c r="I321" s="21"/>
    </row>
    <row r="322" spans="2:9" ht="23.25" x14ac:dyDescent="0.25">
      <c r="B322" s="25" t="str">
        <f t="shared" si="7"/>
        <v/>
      </c>
      <c r="C322" s="25" t="str">
        <f>IF(NOT(ISBLANK(DATA2!C322)),DATA2!C322,"")</f>
        <v/>
      </c>
      <c r="D322" s="25" t="str">
        <f>IF(NOT(ISBLANK(DATA2!D322)),DATA2!D322,"")</f>
        <v/>
      </c>
      <c r="E322" s="26" t="str">
        <f>IF(ISBLANK(DATA2!E322),"",IF(ISBLANK(DATA!C322),DATA2!E322,"Flag override: " &amp; TEXT(DATA!C322, "mm/dd/yyyy hh:mm") ))</f>
        <v/>
      </c>
      <c r="F322" s="27" t="str">
        <f>IF(ISBLANK(DATA2!F322),"",IF(ISBLANK(DATA!D322),DATA2!F322,"Flag override " &amp; TEXT(DATA!D322, "mm/dd/yyyy hh:mm")))</f>
        <v/>
      </c>
      <c r="G322" s="27" t="str">
        <f>IF(DATA2!G322 = 0, "", IF(ISBLANK(DATA2!G322),"",IF(ISBLANK(DATA!E322),DATA2!G322,"Flag override " &amp; TEXT(DATA!E322,"mm/dd/yyyy hh:mm"))))</f>
        <v/>
      </c>
      <c r="H322" s="25" t="str">
        <f>IF(DATA!$G322&gt;0,TEXT(DATA!G322,"mm/dd/yyyy hh:mm"),"")</f>
        <v/>
      </c>
      <c r="I322" s="21"/>
    </row>
    <row r="323" spans="2:9" ht="23.25" x14ac:dyDescent="0.25">
      <c r="B323" s="25" t="str">
        <f t="shared" si="7"/>
        <v/>
      </c>
      <c r="C323" s="25" t="str">
        <f>IF(NOT(ISBLANK(DATA2!C323)),DATA2!C323,"")</f>
        <v/>
      </c>
      <c r="D323" s="25" t="str">
        <f>IF(NOT(ISBLANK(DATA2!D323)),DATA2!D323,"")</f>
        <v/>
      </c>
      <c r="E323" s="26" t="str">
        <f>IF(ISBLANK(DATA2!E323),"",IF(ISBLANK(DATA!C323),DATA2!E323,"Flag override: " &amp; TEXT(DATA!C323, "mm/dd/yyyy hh:mm") ))</f>
        <v/>
      </c>
      <c r="F323" s="27" t="str">
        <f>IF(ISBLANK(DATA2!F323),"",IF(ISBLANK(DATA!D323),DATA2!F323,"Flag override " &amp; TEXT(DATA!D323, "mm/dd/yyyy hh:mm")))</f>
        <v/>
      </c>
      <c r="G323" s="27" t="str">
        <f>IF(DATA2!G323 = 0, "", IF(ISBLANK(DATA2!G323),"",IF(ISBLANK(DATA!E323),DATA2!G323,"Flag override " &amp; TEXT(DATA!E323,"mm/dd/yyyy hh:mm"))))</f>
        <v/>
      </c>
      <c r="H323" s="25" t="str">
        <f>IF(DATA!$G323&gt;0,TEXT(DATA!G323,"mm/dd/yyyy hh:mm"),"")</f>
        <v/>
      </c>
      <c r="I323" s="21"/>
    </row>
    <row r="324" spans="2:9" ht="23.25" x14ac:dyDescent="0.25">
      <c r="B324" s="25" t="str">
        <f t="shared" si="7"/>
        <v/>
      </c>
      <c r="C324" s="25" t="str">
        <f>IF(NOT(ISBLANK(DATA2!C324)),DATA2!C324,"")</f>
        <v/>
      </c>
      <c r="D324" s="25" t="str">
        <f>IF(NOT(ISBLANK(DATA2!D324)),DATA2!D324,"")</f>
        <v/>
      </c>
      <c r="E324" s="26" t="str">
        <f>IF(ISBLANK(DATA2!E324),"",IF(ISBLANK(DATA!C324),DATA2!E324,"Flag override: " &amp; TEXT(DATA!C324, "mm/dd/yyyy hh:mm") ))</f>
        <v/>
      </c>
      <c r="F324" s="27" t="str">
        <f>IF(ISBLANK(DATA2!F324),"",IF(ISBLANK(DATA!D324),DATA2!F324,"Flag override " &amp; TEXT(DATA!D324, "mm/dd/yyyy hh:mm")))</f>
        <v/>
      </c>
      <c r="G324" s="27" t="str">
        <f>IF(DATA2!G324 = 0, "", IF(ISBLANK(DATA2!G324),"",IF(ISBLANK(DATA!E324),DATA2!G324,"Flag override " &amp; TEXT(DATA!E324,"mm/dd/yyyy hh:mm"))))</f>
        <v/>
      </c>
      <c r="H324" s="25" t="str">
        <f>IF(DATA!$G324&gt;0,TEXT(DATA!G324,"mm/dd/yyyy hh:mm"),"")</f>
        <v/>
      </c>
      <c r="I324" s="21"/>
    </row>
    <row r="325" spans="2:9" ht="23.25" x14ac:dyDescent="0.25">
      <c r="B325" s="25" t="str">
        <f t="shared" si="7"/>
        <v/>
      </c>
      <c r="C325" s="25" t="str">
        <f>IF(NOT(ISBLANK(DATA2!C325)),DATA2!C325,"")</f>
        <v/>
      </c>
      <c r="D325" s="25" t="str">
        <f>IF(NOT(ISBLANK(DATA2!D325)),DATA2!D325,"")</f>
        <v/>
      </c>
      <c r="E325" s="26" t="str">
        <f>IF(ISBLANK(DATA2!E325),"",IF(ISBLANK(DATA!C325),DATA2!E325,"Flag override: " &amp; TEXT(DATA!C325, "mm/dd/yyyy hh:mm") ))</f>
        <v/>
      </c>
      <c r="F325" s="27" t="str">
        <f>IF(ISBLANK(DATA2!F325),"",IF(ISBLANK(DATA!D325),DATA2!F325,"Flag override " &amp; TEXT(DATA!D325, "mm/dd/yyyy hh:mm")))</f>
        <v/>
      </c>
      <c r="G325" s="27" t="str">
        <f>IF(DATA2!G325 = 0, "", IF(ISBLANK(DATA2!G325),"",IF(ISBLANK(DATA!E325),DATA2!G325,"Flag override " &amp; TEXT(DATA!E325,"mm/dd/yyyy hh:mm"))))</f>
        <v/>
      </c>
      <c r="H325" s="25" t="str">
        <f>IF(DATA!$G325&gt;0,TEXT(DATA!G325,"mm/dd/yyyy hh:mm"),"")</f>
        <v/>
      </c>
      <c r="I325" s="21"/>
    </row>
    <row r="326" spans="2:9" ht="23.25" x14ac:dyDescent="0.25">
      <c r="B326" s="25" t="str">
        <f t="shared" si="7"/>
        <v/>
      </c>
      <c r="C326" s="25" t="str">
        <f>IF(NOT(ISBLANK(DATA2!C326)),DATA2!C326,"")</f>
        <v/>
      </c>
      <c r="D326" s="25" t="str">
        <f>IF(NOT(ISBLANK(DATA2!D326)),DATA2!D326,"")</f>
        <v/>
      </c>
      <c r="E326" s="26" t="str">
        <f>IF(ISBLANK(DATA2!E326),"",IF(ISBLANK(DATA!C326),DATA2!E326,"Flag override: " &amp; TEXT(DATA!C326, "mm/dd/yyyy hh:mm") ))</f>
        <v/>
      </c>
      <c r="F326" s="27" t="str">
        <f>IF(ISBLANK(DATA2!F326),"",IF(ISBLANK(DATA!D326),DATA2!F326,"Flag override " &amp; TEXT(DATA!D326, "mm/dd/yyyy hh:mm")))</f>
        <v/>
      </c>
      <c r="G326" s="27" t="str">
        <f>IF(DATA2!G326 = 0, "", IF(ISBLANK(DATA2!G326),"",IF(ISBLANK(DATA!E326),DATA2!G326,"Flag override " &amp; TEXT(DATA!E326,"mm/dd/yyyy hh:mm"))))</f>
        <v/>
      </c>
      <c r="H326" s="25" t="str">
        <f>IF(DATA!$G326&gt;0,TEXT(DATA!G326,"mm/dd/yyyy hh:mm"),"")</f>
        <v/>
      </c>
      <c r="I326" s="21"/>
    </row>
    <row r="327" spans="2:9" ht="23.25" x14ac:dyDescent="0.25">
      <c r="B327" s="25" t="str">
        <f t="shared" si="7"/>
        <v/>
      </c>
      <c r="C327" s="25" t="str">
        <f>IF(NOT(ISBLANK(DATA2!C327)),DATA2!C327,"")</f>
        <v/>
      </c>
      <c r="D327" s="25" t="str">
        <f>IF(NOT(ISBLANK(DATA2!D327)),DATA2!D327,"")</f>
        <v/>
      </c>
      <c r="E327" s="26" t="str">
        <f>IF(ISBLANK(DATA2!E327),"",IF(ISBLANK(DATA!C327),DATA2!E327,"Flag override: " &amp; TEXT(DATA!C327, "mm/dd/yyyy hh:mm") ))</f>
        <v/>
      </c>
      <c r="F327" s="27" t="str">
        <f>IF(ISBLANK(DATA2!F327),"",IF(ISBLANK(DATA!D327),DATA2!F327,"Flag override " &amp; TEXT(DATA!D327, "mm/dd/yyyy hh:mm")))</f>
        <v/>
      </c>
      <c r="G327" s="27" t="str">
        <f>IF(DATA2!G327 = 0, "", IF(ISBLANK(DATA2!G327),"",IF(ISBLANK(DATA!E327),DATA2!G327,"Flag override " &amp; TEXT(DATA!E327,"mm/dd/yyyy hh:mm"))))</f>
        <v/>
      </c>
      <c r="H327" s="25" t="str">
        <f>IF(DATA!$G327&gt;0,TEXT(DATA!G327,"mm/dd/yyyy hh:mm"),"")</f>
        <v/>
      </c>
      <c r="I327" s="21"/>
    </row>
    <row r="328" spans="2:9" ht="23.25" x14ac:dyDescent="0.25">
      <c r="B328" s="25" t="str">
        <f t="shared" si="7"/>
        <v/>
      </c>
      <c r="C328" s="25" t="str">
        <f>IF(NOT(ISBLANK(DATA2!C328)),DATA2!C328,"")</f>
        <v/>
      </c>
      <c r="D328" s="25" t="str">
        <f>IF(NOT(ISBLANK(DATA2!D328)),DATA2!D328,"")</f>
        <v/>
      </c>
      <c r="E328" s="26" t="str">
        <f>IF(ISBLANK(DATA2!E328),"",IF(ISBLANK(DATA!C328),DATA2!E328,"Flag override: " &amp; TEXT(DATA!C328, "mm/dd/yyyy hh:mm") ))</f>
        <v/>
      </c>
      <c r="F328" s="27" t="str">
        <f>IF(ISBLANK(DATA2!F328),"",IF(ISBLANK(DATA!D328),DATA2!F328,"Flag override " &amp; TEXT(DATA!D328, "mm/dd/yyyy hh:mm")))</f>
        <v/>
      </c>
      <c r="G328" s="27" t="str">
        <f>IF(DATA2!G328 = 0, "", IF(ISBLANK(DATA2!G328),"",IF(ISBLANK(DATA!E328),DATA2!G328,"Flag override " &amp; TEXT(DATA!E328,"mm/dd/yyyy hh:mm"))))</f>
        <v/>
      </c>
      <c r="H328" s="25" t="str">
        <f>IF(DATA!$G328&gt;0,TEXT(DATA!G328,"mm/dd/yyyy hh:mm"),"")</f>
        <v/>
      </c>
      <c r="I328" s="21"/>
    </row>
    <row r="329" spans="2:9" ht="23.25" x14ac:dyDescent="0.25">
      <c r="B329" s="25" t="str">
        <f t="shared" ref="B329:B392" si="8">IF(LEN(C329)&lt;1,"",IF(NOT(_xlfn.ISFORMULA(B328)),1,B328+1))</f>
        <v/>
      </c>
      <c r="C329" s="25" t="str">
        <f>IF(NOT(ISBLANK(DATA2!C329)),DATA2!C329,"")</f>
        <v/>
      </c>
      <c r="D329" s="25" t="str">
        <f>IF(NOT(ISBLANK(DATA2!D329)),DATA2!D329,"")</f>
        <v/>
      </c>
      <c r="E329" s="26" t="str">
        <f>IF(ISBLANK(DATA2!E329),"",IF(ISBLANK(DATA!C329),DATA2!E329,"Flag override: " &amp; TEXT(DATA!C329, "mm/dd/yyyy hh:mm") ))</f>
        <v/>
      </c>
      <c r="F329" s="27" t="str">
        <f>IF(ISBLANK(DATA2!F329),"",IF(ISBLANK(DATA!D329),DATA2!F329,"Flag override " &amp; TEXT(DATA!D329, "mm/dd/yyyy hh:mm")))</f>
        <v/>
      </c>
      <c r="G329" s="27" t="str">
        <f>IF(DATA2!G329 = 0, "", IF(ISBLANK(DATA2!G329),"",IF(ISBLANK(DATA!E329),DATA2!G329,"Flag override " &amp; TEXT(DATA!E329,"mm/dd/yyyy hh:mm"))))</f>
        <v/>
      </c>
      <c r="H329" s="25" t="str">
        <f>IF(DATA!$G329&gt;0,TEXT(DATA!G329,"mm/dd/yyyy hh:mm"),"")</f>
        <v/>
      </c>
      <c r="I329" s="21"/>
    </row>
    <row r="330" spans="2:9" ht="23.25" x14ac:dyDescent="0.25">
      <c r="B330" s="25" t="str">
        <f t="shared" si="8"/>
        <v/>
      </c>
      <c r="C330" s="25" t="str">
        <f>IF(NOT(ISBLANK(DATA2!C330)),DATA2!C330,"")</f>
        <v/>
      </c>
      <c r="D330" s="25" t="str">
        <f>IF(NOT(ISBLANK(DATA2!D330)),DATA2!D330,"")</f>
        <v/>
      </c>
      <c r="E330" s="26" t="str">
        <f>IF(ISBLANK(DATA2!E330),"",IF(ISBLANK(DATA!C330),DATA2!E330,"Flag override: " &amp; TEXT(DATA!C330, "mm/dd/yyyy hh:mm") ))</f>
        <v/>
      </c>
      <c r="F330" s="27" t="str">
        <f>IF(ISBLANK(DATA2!F330),"",IF(ISBLANK(DATA!D330),DATA2!F330,"Flag override " &amp; TEXT(DATA!D330, "mm/dd/yyyy hh:mm")))</f>
        <v/>
      </c>
      <c r="G330" s="27" t="str">
        <f>IF(DATA2!G330 = 0, "", IF(ISBLANK(DATA2!G330),"",IF(ISBLANK(DATA!E330),DATA2!G330,"Flag override " &amp; TEXT(DATA!E330,"mm/dd/yyyy hh:mm"))))</f>
        <v/>
      </c>
      <c r="H330" s="25" t="str">
        <f>IF(DATA!$G330&gt;0,TEXT(DATA!G330,"mm/dd/yyyy hh:mm"),"")</f>
        <v/>
      </c>
      <c r="I330" s="21"/>
    </row>
    <row r="331" spans="2:9" ht="23.25" x14ac:dyDescent="0.25">
      <c r="B331" s="25" t="str">
        <f t="shared" si="8"/>
        <v/>
      </c>
      <c r="C331" s="25" t="str">
        <f>IF(NOT(ISBLANK(DATA2!C331)),DATA2!C331,"")</f>
        <v/>
      </c>
      <c r="D331" s="25" t="str">
        <f>IF(NOT(ISBLANK(DATA2!D331)),DATA2!D331,"")</f>
        <v/>
      </c>
      <c r="E331" s="26" t="str">
        <f>IF(ISBLANK(DATA2!E331),"",IF(ISBLANK(DATA!C331),DATA2!E331,"Flag override: " &amp; TEXT(DATA!C331, "mm/dd/yyyy hh:mm") ))</f>
        <v/>
      </c>
      <c r="F331" s="27" t="str">
        <f>IF(ISBLANK(DATA2!F331),"",IF(ISBLANK(DATA!D331),DATA2!F331,"Flag override " &amp; TEXT(DATA!D331, "mm/dd/yyyy hh:mm")))</f>
        <v/>
      </c>
      <c r="G331" s="27" t="str">
        <f>IF(DATA2!G331 = 0, "", IF(ISBLANK(DATA2!G331),"",IF(ISBLANK(DATA!E331),DATA2!G331,"Flag override " &amp; TEXT(DATA!E331,"mm/dd/yyyy hh:mm"))))</f>
        <v/>
      </c>
      <c r="H331" s="25" t="str">
        <f>IF(DATA!$G331&gt;0,TEXT(DATA!G331,"mm/dd/yyyy hh:mm"),"")</f>
        <v/>
      </c>
      <c r="I331" s="21"/>
    </row>
    <row r="332" spans="2:9" ht="23.25" x14ac:dyDescent="0.25">
      <c r="B332" s="25" t="str">
        <f t="shared" si="8"/>
        <v/>
      </c>
      <c r="C332" s="25" t="str">
        <f>IF(NOT(ISBLANK(DATA2!C332)),DATA2!C332,"")</f>
        <v/>
      </c>
      <c r="D332" s="25" t="str">
        <f>IF(NOT(ISBLANK(DATA2!D332)),DATA2!D332,"")</f>
        <v/>
      </c>
      <c r="E332" s="26" t="str">
        <f>IF(ISBLANK(DATA2!E332),"",IF(ISBLANK(DATA!C332),DATA2!E332,"Flag override: " &amp; TEXT(DATA!C332, "mm/dd/yyyy hh:mm") ))</f>
        <v/>
      </c>
      <c r="F332" s="27" t="str">
        <f>IF(ISBLANK(DATA2!F332),"",IF(ISBLANK(DATA!D332),DATA2!F332,"Flag override " &amp; TEXT(DATA!D332, "mm/dd/yyyy hh:mm")))</f>
        <v/>
      </c>
      <c r="G332" s="27" t="str">
        <f>IF(DATA2!G332 = 0, "", IF(ISBLANK(DATA2!G332),"",IF(ISBLANK(DATA!E332),DATA2!G332,"Flag override " &amp; TEXT(DATA!E332,"mm/dd/yyyy hh:mm"))))</f>
        <v/>
      </c>
      <c r="H332" s="25" t="str">
        <f>IF(DATA!$G332&gt;0,TEXT(DATA!G332,"mm/dd/yyyy hh:mm"),"")</f>
        <v/>
      </c>
      <c r="I332" s="21"/>
    </row>
    <row r="333" spans="2:9" ht="23.25" x14ac:dyDescent="0.25">
      <c r="B333" s="25" t="str">
        <f t="shared" si="8"/>
        <v/>
      </c>
      <c r="C333" s="25" t="str">
        <f>IF(NOT(ISBLANK(DATA2!C333)),DATA2!C333,"")</f>
        <v/>
      </c>
      <c r="D333" s="25" t="str">
        <f>IF(NOT(ISBLANK(DATA2!D333)),DATA2!D333,"")</f>
        <v/>
      </c>
      <c r="E333" s="26" t="str">
        <f>IF(ISBLANK(DATA2!E333),"",IF(ISBLANK(DATA!C333),DATA2!E333,"Flag override: " &amp; TEXT(DATA!C333, "mm/dd/yyyy hh:mm") ))</f>
        <v/>
      </c>
      <c r="F333" s="27" t="str">
        <f>IF(ISBLANK(DATA2!F333),"",IF(ISBLANK(DATA!D333),DATA2!F333,"Flag override " &amp; TEXT(DATA!D333, "mm/dd/yyyy hh:mm")))</f>
        <v/>
      </c>
      <c r="G333" s="27" t="str">
        <f>IF(DATA2!G333 = 0, "", IF(ISBLANK(DATA2!G333),"",IF(ISBLANK(DATA!E333),DATA2!G333,"Flag override " &amp; TEXT(DATA!E333,"mm/dd/yyyy hh:mm"))))</f>
        <v/>
      </c>
      <c r="H333" s="25" t="str">
        <f>IF(DATA!$G333&gt;0,TEXT(DATA!G333,"mm/dd/yyyy hh:mm"),"")</f>
        <v/>
      </c>
      <c r="I333" s="21"/>
    </row>
    <row r="334" spans="2:9" ht="23.25" x14ac:dyDescent="0.25">
      <c r="B334" s="25" t="str">
        <f t="shared" si="8"/>
        <v/>
      </c>
      <c r="C334" s="25" t="str">
        <f>IF(NOT(ISBLANK(DATA2!C334)),DATA2!C334,"")</f>
        <v/>
      </c>
      <c r="D334" s="25" t="str">
        <f>IF(NOT(ISBLANK(DATA2!D334)),DATA2!D334,"")</f>
        <v/>
      </c>
      <c r="E334" s="26" t="str">
        <f>IF(ISBLANK(DATA2!E334),"",IF(ISBLANK(DATA!C334),DATA2!E334,"Flag override: " &amp; TEXT(DATA!C334, "mm/dd/yyyy hh:mm") ))</f>
        <v/>
      </c>
      <c r="F334" s="27" t="str">
        <f>IF(ISBLANK(DATA2!F334),"",IF(ISBLANK(DATA!D334),DATA2!F334,"Flag override " &amp; TEXT(DATA!D334, "mm/dd/yyyy hh:mm")))</f>
        <v/>
      </c>
      <c r="G334" s="27" t="str">
        <f>IF(DATA2!G334 = 0, "", IF(ISBLANK(DATA2!G334),"",IF(ISBLANK(DATA!E334),DATA2!G334,"Flag override " &amp; TEXT(DATA!E334,"mm/dd/yyyy hh:mm"))))</f>
        <v/>
      </c>
      <c r="H334" s="25" t="str">
        <f>IF(DATA!$G334&gt;0,TEXT(DATA!G334,"mm/dd/yyyy hh:mm"),"")</f>
        <v/>
      </c>
      <c r="I334" s="21"/>
    </row>
    <row r="335" spans="2:9" ht="23.25" x14ac:dyDescent="0.25">
      <c r="B335" s="25" t="str">
        <f t="shared" si="8"/>
        <v/>
      </c>
      <c r="C335" s="25" t="str">
        <f>IF(NOT(ISBLANK(DATA2!C335)),DATA2!C335,"")</f>
        <v/>
      </c>
      <c r="D335" s="25" t="str">
        <f>IF(NOT(ISBLANK(DATA2!D335)),DATA2!D335,"")</f>
        <v/>
      </c>
      <c r="E335" s="26" t="str">
        <f>IF(ISBLANK(DATA2!E335),"",IF(ISBLANK(DATA!C335),DATA2!E335,"Flag override: " &amp; TEXT(DATA!C335, "mm/dd/yyyy hh:mm") ))</f>
        <v/>
      </c>
      <c r="F335" s="27" t="str">
        <f>IF(ISBLANK(DATA2!F335),"",IF(ISBLANK(DATA!D335),DATA2!F335,"Flag override " &amp; TEXT(DATA!D335, "mm/dd/yyyy hh:mm")))</f>
        <v/>
      </c>
      <c r="G335" s="27" t="str">
        <f>IF(DATA2!G335 = 0, "", IF(ISBLANK(DATA2!G335),"",IF(ISBLANK(DATA!E335),DATA2!G335,"Flag override " &amp; TEXT(DATA!E335,"mm/dd/yyyy hh:mm"))))</f>
        <v/>
      </c>
      <c r="H335" s="25" t="str">
        <f>IF(DATA!$G335&gt;0,TEXT(DATA!G335,"mm/dd/yyyy hh:mm"),"")</f>
        <v/>
      </c>
      <c r="I335" s="21"/>
    </row>
    <row r="336" spans="2:9" ht="23.25" x14ac:dyDescent="0.25">
      <c r="B336" s="25" t="str">
        <f t="shared" si="8"/>
        <v/>
      </c>
      <c r="C336" s="25" t="str">
        <f>IF(NOT(ISBLANK(DATA2!C336)),DATA2!C336,"")</f>
        <v/>
      </c>
      <c r="D336" s="25" t="str">
        <f>IF(NOT(ISBLANK(DATA2!D336)),DATA2!D336,"")</f>
        <v/>
      </c>
      <c r="E336" s="26" t="str">
        <f>IF(ISBLANK(DATA2!E336),"",IF(ISBLANK(DATA!C336),DATA2!E336,"Flag override: " &amp; TEXT(DATA!C336, "mm/dd/yyyy hh:mm") ))</f>
        <v/>
      </c>
      <c r="F336" s="27" t="str">
        <f>IF(ISBLANK(DATA2!F336),"",IF(ISBLANK(DATA!D336),DATA2!F336,"Flag override " &amp; TEXT(DATA!D336, "mm/dd/yyyy hh:mm")))</f>
        <v/>
      </c>
      <c r="G336" s="27" t="str">
        <f>IF(DATA2!G336 = 0, "", IF(ISBLANK(DATA2!G336),"",IF(ISBLANK(DATA!E336),DATA2!G336,"Flag override " &amp; TEXT(DATA!E336,"mm/dd/yyyy hh:mm"))))</f>
        <v/>
      </c>
      <c r="H336" s="25" t="str">
        <f>IF(DATA!$G336&gt;0,TEXT(DATA!G336,"mm/dd/yyyy hh:mm"),"")</f>
        <v/>
      </c>
      <c r="I336" s="21"/>
    </row>
    <row r="337" spans="2:9" ht="23.25" x14ac:dyDescent="0.25">
      <c r="B337" s="25" t="str">
        <f t="shared" si="8"/>
        <v/>
      </c>
      <c r="C337" s="25" t="str">
        <f>IF(NOT(ISBLANK(DATA2!C337)),DATA2!C337,"")</f>
        <v/>
      </c>
      <c r="D337" s="25" t="str">
        <f>IF(NOT(ISBLANK(DATA2!D337)),DATA2!D337,"")</f>
        <v/>
      </c>
      <c r="E337" s="26" t="str">
        <f>IF(ISBLANK(DATA2!E337),"",IF(ISBLANK(DATA!C337),DATA2!E337,"Flag override: " &amp; TEXT(DATA!C337, "mm/dd/yyyy hh:mm") ))</f>
        <v/>
      </c>
      <c r="F337" s="27" t="str">
        <f>IF(ISBLANK(DATA2!F337),"",IF(ISBLANK(DATA!D337),DATA2!F337,"Flag override " &amp; TEXT(DATA!D337, "mm/dd/yyyy hh:mm")))</f>
        <v/>
      </c>
      <c r="G337" s="27" t="str">
        <f>IF(DATA2!G337 = 0, "", IF(ISBLANK(DATA2!G337),"",IF(ISBLANK(DATA!E337),DATA2!G337,"Flag override " &amp; TEXT(DATA!E337,"mm/dd/yyyy hh:mm"))))</f>
        <v/>
      </c>
      <c r="H337" s="25" t="str">
        <f>IF(DATA!$G337&gt;0,TEXT(DATA!G337,"mm/dd/yyyy hh:mm"),"")</f>
        <v/>
      </c>
      <c r="I337" s="21"/>
    </row>
    <row r="338" spans="2:9" ht="23.25" x14ac:dyDescent="0.25">
      <c r="B338" s="25" t="str">
        <f t="shared" si="8"/>
        <v/>
      </c>
      <c r="C338" s="25" t="str">
        <f>IF(NOT(ISBLANK(DATA2!C338)),DATA2!C338,"")</f>
        <v/>
      </c>
      <c r="D338" s="25" t="str">
        <f>IF(NOT(ISBLANK(DATA2!D338)),DATA2!D338,"")</f>
        <v/>
      </c>
      <c r="E338" s="26" t="str">
        <f>IF(ISBLANK(DATA2!E338),"",IF(ISBLANK(DATA!C338),DATA2!E338,"Flag override: " &amp; TEXT(DATA!C338, "mm/dd/yyyy hh:mm") ))</f>
        <v/>
      </c>
      <c r="F338" s="27" t="str">
        <f>IF(ISBLANK(DATA2!F338),"",IF(ISBLANK(DATA!D338),DATA2!F338,"Flag override " &amp; TEXT(DATA!D338, "mm/dd/yyyy hh:mm")))</f>
        <v/>
      </c>
      <c r="G338" s="27" t="str">
        <f>IF(DATA2!G338 = 0, "", IF(ISBLANK(DATA2!G338),"",IF(ISBLANK(DATA!E338),DATA2!G338,"Flag override " &amp; TEXT(DATA!E338,"mm/dd/yyyy hh:mm"))))</f>
        <v/>
      </c>
      <c r="H338" s="25" t="str">
        <f>IF(DATA!$G338&gt;0,TEXT(DATA!G338,"mm/dd/yyyy hh:mm"),"")</f>
        <v/>
      </c>
      <c r="I338" s="21"/>
    </row>
    <row r="339" spans="2:9" ht="23.25" x14ac:dyDescent="0.25">
      <c r="B339" s="25" t="str">
        <f t="shared" si="8"/>
        <v/>
      </c>
      <c r="C339" s="25" t="str">
        <f>IF(NOT(ISBLANK(DATA2!C339)),DATA2!C339,"")</f>
        <v/>
      </c>
      <c r="D339" s="25" t="str">
        <f>IF(NOT(ISBLANK(DATA2!D339)),DATA2!D339,"")</f>
        <v/>
      </c>
      <c r="E339" s="26" t="str">
        <f>IF(ISBLANK(DATA2!E339),"",IF(ISBLANK(DATA!C339),DATA2!E339,"Flag override: " &amp; TEXT(DATA!C339, "mm/dd/yyyy hh:mm") ))</f>
        <v/>
      </c>
      <c r="F339" s="27" t="str">
        <f>IF(ISBLANK(DATA2!F339),"",IF(ISBLANK(DATA!D339),DATA2!F339,"Flag override " &amp; TEXT(DATA!D339, "mm/dd/yyyy hh:mm")))</f>
        <v/>
      </c>
      <c r="G339" s="27" t="str">
        <f>IF(DATA2!G339 = 0, "", IF(ISBLANK(DATA2!G339),"",IF(ISBLANK(DATA!E339),DATA2!G339,"Flag override " &amp; TEXT(DATA!E339,"mm/dd/yyyy hh:mm"))))</f>
        <v/>
      </c>
      <c r="H339" s="25" t="str">
        <f>IF(DATA!$G339&gt;0,TEXT(DATA!G339,"mm/dd/yyyy hh:mm"),"")</f>
        <v/>
      </c>
      <c r="I339" s="21"/>
    </row>
    <row r="340" spans="2:9" ht="23.25" x14ac:dyDescent="0.25">
      <c r="B340" s="25" t="str">
        <f t="shared" si="8"/>
        <v/>
      </c>
      <c r="C340" s="25" t="str">
        <f>IF(NOT(ISBLANK(DATA2!C340)),DATA2!C340,"")</f>
        <v/>
      </c>
      <c r="D340" s="25" t="str">
        <f>IF(NOT(ISBLANK(DATA2!D340)),DATA2!D340,"")</f>
        <v/>
      </c>
      <c r="E340" s="26" t="str">
        <f>IF(ISBLANK(DATA2!E340),"",IF(ISBLANK(DATA!C340),DATA2!E340,"Flag override: " &amp; TEXT(DATA!C340, "mm/dd/yyyy hh:mm") ))</f>
        <v/>
      </c>
      <c r="F340" s="27" t="str">
        <f>IF(ISBLANK(DATA2!F340),"",IF(ISBLANK(DATA!D340),DATA2!F340,"Flag override " &amp; TEXT(DATA!D340, "mm/dd/yyyy hh:mm")))</f>
        <v/>
      </c>
      <c r="G340" s="27" t="str">
        <f>IF(DATA2!G340 = 0, "", IF(ISBLANK(DATA2!G340),"",IF(ISBLANK(DATA!E340),DATA2!G340,"Flag override " &amp; TEXT(DATA!E340,"mm/dd/yyyy hh:mm"))))</f>
        <v/>
      </c>
      <c r="H340" s="25" t="str">
        <f>IF(DATA!$G340&gt;0,TEXT(DATA!G340,"mm/dd/yyyy hh:mm"),"")</f>
        <v/>
      </c>
      <c r="I340" s="21"/>
    </row>
    <row r="341" spans="2:9" ht="23.25" x14ac:dyDescent="0.25">
      <c r="B341" s="25" t="str">
        <f t="shared" si="8"/>
        <v/>
      </c>
      <c r="C341" s="25" t="str">
        <f>IF(NOT(ISBLANK(DATA2!C341)),DATA2!C341,"")</f>
        <v/>
      </c>
      <c r="D341" s="25" t="str">
        <f>IF(NOT(ISBLANK(DATA2!D341)),DATA2!D341,"")</f>
        <v/>
      </c>
      <c r="E341" s="26" t="str">
        <f>IF(ISBLANK(DATA2!E341),"",IF(ISBLANK(DATA!C341),DATA2!E341,"Flag override: " &amp; TEXT(DATA!C341, "mm/dd/yyyy hh:mm") ))</f>
        <v/>
      </c>
      <c r="F341" s="27" t="str">
        <f>IF(ISBLANK(DATA2!F341),"",IF(ISBLANK(DATA!D341),DATA2!F341,"Flag override " &amp; TEXT(DATA!D341, "mm/dd/yyyy hh:mm")))</f>
        <v/>
      </c>
      <c r="G341" s="27" t="str">
        <f>IF(DATA2!G341 = 0, "", IF(ISBLANK(DATA2!G341),"",IF(ISBLANK(DATA!E341),DATA2!G341,"Flag override " &amp; TEXT(DATA!E341,"mm/dd/yyyy hh:mm"))))</f>
        <v/>
      </c>
      <c r="H341" s="25" t="str">
        <f>IF(DATA!$G341&gt;0,TEXT(DATA!G341,"mm/dd/yyyy hh:mm"),"")</f>
        <v/>
      </c>
      <c r="I341" s="21"/>
    </row>
    <row r="342" spans="2:9" ht="23.25" x14ac:dyDescent="0.25">
      <c r="B342" s="25" t="str">
        <f t="shared" si="8"/>
        <v/>
      </c>
      <c r="C342" s="25" t="str">
        <f>IF(NOT(ISBLANK(DATA2!C342)),DATA2!C342,"")</f>
        <v/>
      </c>
      <c r="D342" s="25" t="str">
        <f>IF(NOT(ISBLANK(DATA2!D342)),DATA2!D342,"")</f>
        <v/>
      </c>
      <c r="E342" s="26" t="str">
        <f>IF(ISBLANK(DATA2!E342),"",IF(ISBLANK(DATA!C342),DATA2!E342,"Flag override: " &amp; TEXT(DATA!C342, "mm/dd/yyyy hh:mm") ))</f>
        <v/>
      </c>
      <c r="F342" s="27" t="str">
        <f>IF(ISBLANK(DATA2!F342),"",IF(ISBLANK(DATA!D342),DATA2!F342,"Flag override " &amp; TEXT(DATA!D342, "mm/dd/yyyy hh:mm")))</f>
        <v/>
      </c>
      <c r="G342" s="27" t="str">
        <f>IF(DATA2!G342 = 0, "", IF(ISBLANK(DATA2!G342),"",IF(ISBLANK(DATA!E342),DATA2!G342,"Flag override " &amp; TEXT(DATA!E342,"mm/dd/yyyy hh:mm"))))</f>
        <v/>
      </c>
      <c r="H342" s="25" t="str">
        <f>IF(DATA!$G342&gt;0,TEXT(DATA!G342,"mm/dd/yyyy hh:mm"),"")</f>
        <v/>
      </c>
      <c r="I342" s="21"/>
    </row>
    <row r="343" spans="2:9" ht="23.25" x14ac:dyDescent="0.25">
      <c r="B343" s="25" t="str">
        <f t="shared" si="8"/>
        <v/>
      </c>
      <c r="C343" s="25" t="str">
        <f>IF(NOT(ISBLANK(DATA2!C343)),DATA2!C343,"")</f>
        <v/>
      </c>
      <c r="D343" s="25" t="str">
        <f>IF(NOT(ISBLANK(DATA2!D343)),DATA2!D343,"")</f>
        <v/>
      </c>
      <c r="E343" s="26" t="str">
        <f>IF(ISBLANK(DATA2!E343),"",IF(ISBLANK(DATA!C343),DATA2!E343,"Flag override: " &amp; TEXT(DATA!C343, "mm/dd/yyyy hh:mm") ))</f>
        <v/>
      </c>
      <c r="F343" s="27" t="str">
        <f>IF(ISBLANK(DATA2!F343),"",IF(ISBLANK(DATA!D343),DATA2!F343,"Flag override " &amp; TEXT(DATA!D343, "mm/dd/yyyy hh:mm")))</f>
        <v/>
      </c>
      <c r="G343" s="27" t="str">
        <f>IF(DATA2!G343 = 0, "", IF(ISBLANK(DATA2!G343),"",IF(ISBLANK(DATA!E343),DATA2!G343,"Flag override " &amp; TEXT(DATA!E343,"mm/dd/yyyy hh:mm"))))</f>
        <v/>
      </c>
      <c r="H343" s="25" t="str">
        <f>IF(DATA!$G343&gt;0,TEXT(DATA!G343,"mm/dd/yyyy hh:mm"),"")</f>
        <v/>
      </c>
      <c r="I343" s="21"/>
    </row>
    <row r="344" spans="2:9" ht="23.25" x14ac:dyDescent="0.25">
      <c r="B344" s="25" t="str">
        <f t="shared" si="8"/>
        <v/>
      </c>
      <c r="C344" s="25" t="str">
        <f>IF(NOT(ISBLANK(DATA2!C344)),DATA2!C344,"")</f>
        <v/>
      </c>
      <c r="D344" s="25" t="str">
        <f>IF(NOT(ISBLANK(DATA2!D344)),DATA2!D344,"")</f>
        <v/>
      </c>
      <c r="E344" s="26" t="str">
        <f>IF(ISBLANK(DATA2!E344),"",IF(ISBLANK(DATA!C344),DATA2!E344,"Flag override: " &amp; TEXT(DATA!C344, "mm/dd/yyyy hh:mm") ))</f>
        <v/>
      </c>
      <c r="F344" s="27" t="str">
        <f>IF(ISBLANK(DATA2!F344),"",IF(ISBLANK(DATA!D344),DATA2!F344,"Flag override " &amp; TEXT(DATA!D344, "mm/dd/yyyy hh:mm")))</f>
        <v/>
      </c>
      <c r="G344" s="27" t="str">
        <f>IF(DATA2!G344 = 0, "", IF(ISBLANK(DATA2!G344),"",IF(ISBLANK(DATA!E344),DATA2!G344,"Flag override " &amp; TEXT(DATA!E344,"mm/dd/yyyy hh:mm"))))</f>
        <v/>
      </c>
      <c r="H344" s="25" t="str">
        <f>IF(DATA!$G344&gt;0,TEXT(DATA!G344,"mm/dd/yyyy hh:mm"),"")</f>
        <v/>
      </c>
      <c r="I344" s="21"/>
    </row>
    <row r="345" spans="2:9" ht="23.25" x14ac:dyDescent="0.25">
      <c r="B345" s="25" t="str">
        <f t="shared" si="8"/>
        <v/>
      </c>
      <c r="C345" s="25" t="str">
        <f>IF(NOT(ISBLANK(DATA2!C345)),DATA2!C345,"")</f>
        <v/>
      </c>
      <c r="D345" s="25" t="str">
        <f>IF(NOT(ISBLANK(DATA2!D345)),DATA2!D345,"")</f>
        <v/>
      </c>
      <c r="E345" s="26" t="str">
        <f>IF(ISBLANK(DATA2!E345),"",IF(ISBLANK(DATA!C345),DATA2!E345,"Flag override: " &amp; TEXT(DATA!C345, "mm/dd/yyyy hh:mm") ))</f>
        <v/>
      </c>
      <c r="F345" s="27" t="str">
        <f>IF(ISBLANK(DATA2!F345),"",IF(ISBLANK(DATA!D345),DATA2!F345,"Flag override " &amp; TEXT(DATA!D345, "mm/dd/yyyy hh:mm")))</f>
        <v/>
      </c>
      <c r="G345" s="27" t="str">
        <f>IF(DATA2!G345 = 0, "", IF(ISBLANK(DATA2!G345),"",IF(ISBLANK(DATA!E345),DATA2!G345,"Flag override " &amp; TEXT(DATA!E345,"mm/dd/yyyy hh:mm"))))</f>
        <v/>
      </c>
      <c r="H345" s="25" t="str">
        <f>IF(DATA!$G345&gt;0,TEXT(DATA!G345,"mm/dd/yyyy hh:mm"),"")</f>
        <v/>
      </c>
      <c r="I345" s="21"/>
    </row>
    <row r="346" spans="2:9" ht="23.25" x14ac:dyDescent="0.25">
      <c r="B346" s="25" t="str">
        <f t="shared" si="8"/>
        <v/>
      </c>
      <c r="C346" s="25" t="str">
        <f>IF(NOT(ISBLANK(DATA2!C346)),DATA2!C346,"")</f>
        <v/>
      </c>
      <c r="D346" s="25" t="str">
        <f>IF(NOT(ISBLANK(DATA2!D346)),DATA2!D346,"")</f>
        <v/>
      </c>
      <c r="E346" s="26" t="str">
        <f>IF(ISBLANK(DATA2!E346),"",IF(ISBLANK(DATA!C346),DATA2!E346,"Flag override: " &amp; TEXT(DATA!C346, "mm/dd/yyyy hh:mm") ))</f>
        <v/>
      </c>
      <c r="F346" s="27" t="str">
        <f>IF(ISBLANK(DATA2!F346),"",IF(ISBLANK(DATA!D346),DATA2!F346,"Flag override " &amp; TEXT(DATA!D346, "mm/dd/yyyy hh:mm")))</f>
        <v/>
      </c>
      <c r="G346" s="27" t="str">
        <f>IF(DATA2!G346 = 0, "", IF(ISBLANK(DATA2!G346),"",IF(ISBLANK(DATA!E346),DATA2!G346,"Flag override " &amp; TEXT(DATA!E346,"mm/dd/yyyy hh:mm"))))</f>
        <v/>
      </c>
      <c r="H346" s="25" t="str">
        <f>IF(DATA!$G346&gt;0,TEXT(DATA!G346,"mm/dd/yyyy hh:mm"),"")</f>
        <v/>
      </c>
      <c r="I346" s="21"/>
    </row>
    <row r="347" spans="2:9" ht="23.25" x14ac:dyDescent="0.25">
      <c r="B347" s="25" t="str">
        <f t="shared" si="8"/>
        <v/>
      </c>
      <c r="C347" s="25" t="str">
        <f>IF(NOT(ISBLANK(DATA2!C347)),DATA2!C347,"")</f>
        <v/>
      </c>
      <c r="D347" s="25" t="str">
        <f>IF(NOT(ISBLANK(DATA2!D347)),DATA2!D347,"")</f>
        <v/>
      </c>
      <c r="E347" s="26" t="str">
        <f>IF(ISBLANK(DATA2!E347),"",IF(ISBLANK(DATA!C347),DATA2!E347,"Flag override: " &amp; TEXT(DATA!C347, "mm/dd/yyyy hh:mm") ))</f>
        <v/>
      </c>
      <c r="F347" s="27" t="str">
        <f>IF(ISBLANK(DATA2!F347),"",IF(ISBLANK(DATA!D347),DATA2!F347,"Flag override " &amp; TEXT(DATA!D347, "mm/dd/yyyy hh:mm")))</f>
        <v/>
      </c>
      <c r="G347" s="27" t="str">
        <f>IF(DATA2!G347 = 0, "", IF(ISBLANK(DATA2!G347),"",IF(ISBLANK(DATA!E347),DATA2!G347,"Flag override " &amp; TEXT(DATA!E347,"mm/dd/yyyy hh:mm"))))</f>
        <v/>
      </c>
      <c r="H347" s="25" t="str">
        <f>IF(DATA!$G347&gt;0,TEXT(DATA!G347,"mm/dd/yyyy hh:mm"),"")</f>
        <v/>
      </c>
      <c r="I347" s="21"/>
    </row>
    <row r="348" spans="2:9" ht="23.25" x14ac:dyDescent="0.25">
      <c r="B348" s="25" t="str">
        <f t="shared" si="8"/>
        <v/>
      </c>
      <c r="C348" s="25" t="str">
        <f>IF(NOT(ISBLANK(DATA2!C348)),DATA2!C348,"")</f>
        <v/>
      </c>
      <c r="D348" s="25" t="str">
        <f>IF(NOT(ISBLANK(DATA2!D348)),DATA2!D348,"")</f>
        <v/>
      </c>
      <c r="E348" s="26" t="str">
        <f>IF(ISBLANK(DATA2!E348),"",IF(ISBLANK(DATA!C348),DATA2!E348,"Flag override: " &amp; TEXT(DATA!C348, "mm/dd/yyyy hh:mm") ))</f>
        <v/>
      </c>
      <c r="F348" s="27" t="str">
        <f>IF(ISBLANK(DATA2!F348),"",IF(ISBLANK(DATA!D348),DATA2!F348,"Flag override " &amp; TEXT(DATA!D348, "mm/dd/yyyy hh:mm")))</f>
        <v/>
      </c>
      <c r="G348" s="27" t="str">
        <f>IF(DATA2!G348 = 0, "", IF(ISBLANK(DATA2!G348),"",IF(ISBLANK(DATA!E348),DATA2!G348,"Flag override " &amp; TEXT(DATA!E348,"mm/dd/yyyy hh:mm"))))</f>
        <v/>
      </c>
      <c r="H348" s="25" t="str">
        <f>IF(DATA!$G348&gt;0,TEXT(DATA!G348,"mm/dd/yyyy hh:mm"),"")</f>
        <v/>
      </c>
      <c r="I348" s="21"/>
    </row>
    <row r="349" spans="2:9" ht="23.25" x14ac:dyDescent="0.25">
      <c r="B349" s="25" t="str">
        <f t="shared" si="8"/>
        <v/>
      </c>
      <c r="C349" s="25" t="str">
        <f>IF(NOT(ISBLANK(DATA2!C349)),DATA2!C349,"")</f>
        <v/>
      </c>
      <c r="D349" s="25" t="str">
        <f>IF(NOT(ISBLANK(DATA2!D349)),DATA2!D349,"")</f>
        <v/>
      </c>
      <c r="E349" s="26" t="str">
        <f>IF(ISBLANK(DATA2!E349),"",IF(ISBLANK(DATA!C349),DATA2!E349,"Flag override: " &amp; TEXT(DATA!C349, "mm/dd/yyyy hh:mm") ))</f>
        <v/>
      </c>
      <c r="F349" s="27" t="str">
        <f>IF(ISBLANK(DATA2!F349),"",IF(ISBLANK(DATA!D349),DATA2!F349,"Flag override " &amp; TEXT(DATA!D349, "mm/dd/yyyy hh:mm")))</f>
        <v/>
      </c>
      <c r="G349" s="27" t="str">
        <f>IF(DATA2!G349 = 0, "", IF(ISBLANK(DATA2!G349),"",IF(ISBLANK(DATA!E349),DATA2!G349,"Flag override " &amp; TEXT(DATA!E349,"mm/dd/yyyy hh:mm"))))</f>
        <v/>
      </c>
      <c r="H349" s="25" t="str">
        <f>IF(DATA!$G349&gt;0,TEXT(DATA!G349,"mm/dd/yyyy hh:mm"),"")</f>
        <v/>
      </c>
      <c r="I349" s="21"/>
    </row>
    <row r="350" spans="2:9" ht="23.25" x14ac:dyDescent="0.25">
      <c r="B350" s="25" t="str">
        <f t="shared" si="8"/>
        <v/>
      </c>
      <c r="C350" s="25" t="str">
        <f>IF(NOT(ISBLANK(DATA2!C350)),DATA2!C350,"")</f>
        <v/>
      </c>
      <c r="D350" s="25" t="str">
        <f>IF(NOT(ISBLANK(DATA2!D350)),DATA2!D350,"")</f>
        <v/>
      </c>
      <c r="E350" s="26" t="str">
        <f>IF(ISBLANK(DATA2!E350),"",IF(ISBLANK(DATA!C350),DATA2!E350,"Flag override: " &amp; TEXT(DATA!C350, "mm/dd/yyyy hh:mm") ))</f>
        <v/>
      </c>
      <c r="F350" s="27" t="str">
        <f>IF(ISBLANK(DATA2!F350),"",IF(ISBLANK(DATA!D350),DATA2!F350,"Flag override " &amp; TEXT(DATA!D350, "mm/dd/yyyy hh:mm")))</f>
        <v/>
      </c>
      <c r="G350" s="27" t="str">
        <f>IF(DATA2!G350 = 0, "", IF(ISBLANK(DATA2!G350),"",IF(ISBLANK(DATA!E350),DATA2!G350,"Flag override " &amp; TEXT(DATA!E350,"mm/dd/yyyy hh:mm"))))</f>
        <v/>
      </c>
      <c r="H350" s="25" t="str">
        <f>IF(DATA!$G350&gt;0,TEXT(DATA!G350,"mm/dd/yyyy hh:mm"),"")</f>
        <v/>
      </c>
      <c r="I350" s="21"/>
    </row>
    <row r="351" spans="2:9" ht="23.25" x14ac:dyDescent="0.25">
      <c r="B351" s="25" t="str">
        <f t="shared" si="8"/>
        <v/>
      </c>
      <c r="C351" s="25" t="str">
        <f>IF(NOT(ISBLANK(DATA2!C351)),DATA2!C351,"")</f>
        <v/>
      </c>
      <c r="D351" s="25" t="str">
        <f>IF(NOT(ISBLANK(DATA2!D351)),DATA2!D351,"")</f>
        <v/>
      </c>
      <c r="E351" s="26" t="str">
        <f>IF(ISBLANK(DATA2!E351),"",IF(ISBLANK(DATA!C351),DATA2!E351,"Flag override: " &amp; TEXT(DATA!C351, "mm/dd/yyyy hh:mm") ))</f>
        <v/>
      </c>
      <c r="F351" s="27" t="str">
        <f>IF(ISBLANK(DATA2!F351),"",IF(ISBLANK(DATA!D351),DATA2!F351,"Flag override " &amp; TEXT(DATA!D351, "mm/dd/yyyy hh:mm")))</f>
        <v/>
      </c>
      <c r="G351" s="27" t="str">
        <f>IF(DATA2!G351 = 0, "", IF(ISBLANK(DATA2!G351),"",IF(ISBLANK(DATA!E351),DATA2!G351,"Flag override " &amp; TEXT(DATA!E351,"mm/dd/yyyy hh:mm"))))</f>
        <v/>
      </c>
      <c r="H351" s="25" t="str">
        <f>IF(DATA!$G351&gt;0,TEXT(DATA!G351,"mm/dd/yyyy hh:mm"),"")</f>
        <v/>
      </c>
      <c r="I351" s="21"/>
    </row>
    <row r="352" spans="2:9" ht="23.25" x14ac:dyDescent="0.25">
      <c r="B352" s="25" t="str">
        <f t="shared" si="8"/>
        <v/>
      </c>
      <c r="C352" s="25" t="str">
        <f>IF(NOT(ISBLANK(DATA2!C352)),DATA2!C352,"")</f>
        <v/>
      </c>
      <c r="D352" s="25" t="str">
        <f>IF(NOT(ISBLANK(DATA2!D352)),DATA2!D352,"")</f>
        <v/>
      </c>
      <c r="E352" s="26" t="str">
        <f>IF(ISBLANK(DATA2!E352),"",IF(ISBLANK(DATA!C352),DATA2!E352,"Flag override: " &amp; TEXT(DATA!C352, "mm/dd/yyyy hh:mm") ))</f>
        <v/>
      </c>
      <c r="F352" s="27" t="str">
        <f>IF(ISBLANK(DATA2!F352),"",IF(ISBLANK(DATA!D352),DATA2!F352,"Flag override " &amp; TEXT(DATA!D352, "mm/dd/yyyy hh:mm")))</f>
        <v/>
      </c>
      <c r="G352" s="27" t="str">
        <f>IF(DATA2!G352 = 0, "", IF(ISBLANK(DATA2!G352),"",IF(ISBLANK(DATA!E352),DATA2!G352,"Flag override " &amp; TEXT(DATA!E352,"mm/dd/yyyy hh:mm"))))</f>
        <v/>
      </c>
      <c r="H352" s="25" t="str">
        <f>IF(DATA!$G352&gt;0,TEXT(DATA!G352,"mm/dd/yyyy hh:mm"),"")</f>
        <v/>
      </c>
      <c r="I352" s="21"/>
    </row>
    <row r="353" spans="2:9" ht="23.25" x14ac:dyDescent="0.25">
      <c r="B353" s="25" t="str">
        <f t="shared" si="8"/>
        <v/>
      </c>
      <c r="C353" s="25" t="str">
        <f>IF(NOT(ISBLANK(DATA2!C353)),DATA2!C353,"")</f>
        <v/>
      </c>
      <c r="D353" s="25" t="str">
        <f>IF(NOT(ISBLANK(DATA2!D353)),DATA2!D353,"")</f>
        <v/>
      </c>
      <c r="E353" s="26" t="str">
        <f>IF(ISBLANK(DATA2!E353),"",IF(ISBLANK(DATA!C353),DATA2!E353,"Flag override: " &amp; TEXT(DATA!C353, "mm/dd/yyyy hh:mm") ))</f>
        <v/>
      </c>
      <c r="F353" s="27" t="str">
        <f>IF(ISBLANK(DATA2!F353),"",IF(ISBLANK(DATA!D353),DATA2!F353,"Flag override " &amp; TEXT(DATA!D353, "mm/dd/yyyy hh:mm")))</f>
        <v/>
      </c>
      <c r="G353" s="27" t="str">
        <f>IF(DATA2!G353 = 0, "", IF(ISBLANK(DATA2!G353),"",IF(ISBLANK(DATA!E353),DATA2!G353,"Flag override " &amp; TEXT(DATA!E353,"mm/dd/yyyy hh:mm"))))</f>
        <v/>
      </c>
      <c r="H353" s="25" t="str">
        <f>IF(DATA!$G353&gt;0,TEXT(DATA!G353,"mm/dd/yyyy hh:mm"),"")</f>
        <v/>
      </c>
      <c r="I353" s="21"/>
    </row>
    <row r="354" spans="2:9" ht="23.25" x14ac:dyDescent="0.25">
      <c r="B354" s="25" t="str">
        <f t="shared" si="8"/>
        <v/>
      </c>
      <c r="C354" s="25" t="str">
        <f>IF(NOT(ISBLANK(DATA2!C354)),DATA2!C354,"")</f>
        <v/>
      </c>
      <c r="D354" s="25" t="str">
        <f>IF(NOT(ISBLANK(DATA2!D354)),DATA2!D354,"")</f>
        <v/>
      </c>
      <c r="E354" s="26" t="str">
        <f>IF(ISBLANK(DATA2!E354),"",IF(ISBLANK(DATA!C354),DATA2!E354,"Flag override: " &amp; TEXT(DATA!C354, "mm/dd/yyyy hh:mm") ))</f>
        <v/>
      </c>
      <c r="F354" s="27" t="str">
        <f>IF(ISBLANK(DATA2!F354),"",IF(ISBLANK(DATA!D354),DATA2!F354,"Flag override " &amp; TEXT(DATA!D354, "mm/dd/yyyy hh:mm")))</f>
        <v/>
      </c>
      <c r="G354" s="27" t="str">
        <f>IF(DATA2!G354 = 0, "", IF(ISBLANK(DATA2!G354),"",IF(ISBLANK(DATA!E354),DATA2!G354,"Flag override " &amp; TEXT(DATA!E354,"mm/dd/yyyy hh:mm"))))</f>
        <v/>
      </c>
      <c r="H354" s="25" t="str">
        <f>IF(DATA!$G354&gt;0,TEXT(DATA!G354,"mm/dd/yyyy hh:mm"),"")</f>
        <v/>
      </c>
      <c r="I354" s="21"/>
    </row>
    <row r="355" spans="2:9" ht="23.25" x14ac:dyDescent="0.25">
      <c r="B355" s="25" t="str">
        <f t="shared" si="8"/>
        <v/>
      </c>
      <c r="C355" s="25" t="str">
        <f>IF(NOT(ISBLANK(DATA2!C355)),DATA2!C355,"")</f>
        <v/>
      </c>
      <c r="D355" s="25" t="str">
        <f>IF(NOT(ISBLANK(DATA2!D355)),DATA2!D355,"")</f>
        <v/>
      </c>
      <c r="E355" s="26" t="str">
        <f>IF(ISBLANK(DATA2!E355),"",IF(ISBLANK(DATA!C355),DATA2!E355,"Flag override: " &amp; TEXT(DATA!C355, "mm/dd/yyyy hh:mm") ))</f>
        <v/>
      </c>
      <c r="F355" s="27" t="str">
        <f>IF(ISBLANK(DATA2!F355),"",IF(ISBLANK(DATA!D355),DATA2!F355,"Flag override " &amp; TEXT(DATA!D355, "mm/dd/yyyy hh:mm")))</f>
        <v/>
      </c>
      <c r="G355" s="27" t="str">
        <f>IF(DATA2!G355 = 0, "", IF(ISBLANK(DATA2!G355),"",IF(ISBLANK(DATA!E355),DATA2!G355,"Flag override " &amp; TEXT(DATA!E355,"mm/dd/yyyy hh:mm"))))</f>
        <v/>
      </c>
      <c r="H355" s="25" t="str">
        <f>IF(DATA!$G355&gt;0,TEXT(DATA!G355,"mm/dd/yyyy hh:mm"),"")</f>
        <v/>
      </c>
      <c r="I355" s="21"/>
    </row>
    <row r="356" spans="2:9" ht="23.25" x14ac:dyDescent="0.25">
      <c r="B356" s="25" t="str">
        <f t="shared" si="8"/>
        <v/>
      </c>
      <c r="C356" s="25" t="str">
        <f>IF(NOT(ISBLANK(DATA2!C356)),DATA2!C356,"")</f>
        <v/>
      </c>
      <c r="D356" s="25" t="str">
        <f>IF(NOT(ISBLANK(DATA2!D356)),DATA2!D356,"")</f>
        <v/>
      </c>
      <c r="E356" s="26" t="str">
        <f>IF(ISBLANK(DATA2!E356),"",IF(ISBLANK(DATA!C356),DATA2!E356,"Flag override: " &amp; TEXT(DATA!C356, "mm/dd/yyyy hh:mm") ))</f>
        <v/>
      </c>
      <c r="F356" s="27" t="str">
        <f>IF(ISBLANK(DATA2!F356),"",IF(ISBLANK(DATA!D356),DATA2!F356,"Flag override " &amp; TEXT(DATA!D356, "mm/dd/yyyy hh:mm")))</f>
        <v/>
      </c>
      <c r="G356" s="27" t="str">
        <f>IF(DATA2!G356 = 0, "", IF(ISBLANK(DATA2!G356),"",IF(ISBLANK(DATA!E356),DATA2!G356,"Flag override " &amp; TEXT(DATA!E356,"mm/dd/yyyy hh:mm"))))</f>
        <v/>
      </c>
      <c r="H356" s="25" t="str">
        <f>IF(DATA!$G356&gt;0,TEXT(DATA!G356,"mm/dd/yyyy hh:mm"),"")</f>
        <v/>
      </c>
      <c r="I356" s="21"/>
    </row>
    <row r="357" spans="2:9" ht="23.25" x14ac:dyDescent="0.25">
      <c r="B357" s="25" t="str">
        <f t="shared" si="8"/>
        <v/>
      </c>
      <c r="C357" s="25" t="str">
        <f>IF(NOT(ISBLANK(DATA2!C357)),DATA2!C357,"")</f>
        <v/>
      </c>
      <c r="D357" s="25" t="str">
        <f>IF(NOT(ISBLANK(DATA2!D357)),DATA2!D357,"")</f>
        <v/>
      </c>
      <c r="E357" s="26" t="str">
        <f>IF(ISBLANK(DATA2!E357),"",IF(ISBLANK(DATA!C357),DATA2!E357,"Flag override: " &amp; TEXT(DATA!C357, "mm/dd/yyyy hh:mm") ))</f>
        <v/>
      </c>
      <c r="F357" s="27" t="str">
        <f>IF(ISBLANK(DATA2!F357),"",IF(ISBLANK(DATA!D357),DATA2!F357,"Flag override " &amp; TEXT(DATA!D357, "mm/dd/yyyy hh:mm")))</f>
        <v/>
      </c>
      <c r="G357" s="27" t="str">
        <f>IF(DATA2!G357 = 0, "", IF(ISBLANK(DATA2!G357),"",IF(ISBLANK(DATA!E357),DATA2!G357,"Flag override " &amp; TEXT(DATA!E357,"mm/dd/yyyy hh:mm"))))</f>
        <v/>
      </c>
      <c r="H357" s="25" t="str">
        <f>IF(DATA!$G357&gt;0,TEXT(DATA!G357,"mm/dd/yyyy hh:mm"),"")</f>
        <v/>
      </c>
      <c r="I357" s="21"/>
    </row>
    <row r="358" spans="2:9" ht="23.25" x14ac:dyDescent="0.25">
      <c r="B358" s="25" t="str">
        <f t="shared" si="8"/>
        <v/>
      </c>
      <c r="C358" s="25" t="str">
        <f>IF(NOT(ISBLANK(DATA2!C358)),DATA2!C358,"")</f>
        <v/>
      </c>
      <c r="D358" s="25" t="str">
        <f>IF(NOT(ISBLANK(DATA2!D358)),DATA2!D358,"")</f>
        <v/>
      </c>
      <c r="E358" s="26" t="str">
        <f>IF(ISBLANK(DATA2!E358),"",IF(ISBLANK(DATA!C358),DATA2!E358,"Flag override: " &amp; TEXT(DATA!C358, "mm/dd/yyyy hh:mm") ))</f>
        <v/>
      </c>
      <c r="F358" s="27" t="str">
        <f>IF(ISBLANK(DATA2!F358),"",IF(ISBLANK(DATA!D358),DATA2!F358,"Flag override " &amp; TEXT(DATA!D358, "mm/dd/yyyy hh:mm")))</f>
        <v/>
      </c>
      <c r="G358" s="27" t="str">
        <f>IF(DATA2!G358 = 0, "", IF(ISBLANK(DATA2!G358),"",IF(ISBLANK(DATA!E358),DATA2!G358,"Flag override " &amp; TEXT(DATA!E358,"mm/dd/yyyy hh:mm"))))</f>
        <v/>
      </c>
      <c r="H358" s="25" t="str">
        <f>IF(DATA!$G358&gt;0,TEXT(DATA!G358,"mm/dd/yyyy hh:mm"),"")</f>
        <v/>
      </c>
      <c r="I358" s="21"/>
    </row>
    <row r="359" spans="2:9" ht="23.25" x14ac:dyDescent="0.25">
      <c r="B359" s="25" t="str">
        <f t="shared" si="8"/>
        <v/>
      </c>
      <c r="C359" s="25" t="str">
        <f>IF(NOT(ISBLANK(DATA2!C359)),DATA2!C359,"")</f>
        <v/>
      </c>
      <c r="D359" s="25" t="str">
        <f>IF(NOT(ISBLANK(DATA2!D359)),DATA2!D359,"")</f>
        <v/>
      </c>
      <c r="E359" s="26" t="str">
        <f>IF(ISBLANK(DATA2!E359),"",IF(ISBLANK(DATA!C359),DATA2!E359,"Flag override: " &amp; TEXT(DATA!C359, "mm/dd/yyyy hh:mm") ))</f>
        <v/>
      </c>
      <c r="F359" s="27" t="str">
        <f>IF(ISBLANK(DATA2!F359),"",IF(ISBLANK(DATA!D359),DATA2!F359,"Flag override " &amp; TEXT(DATA!D359, "mm/dd/yyyy hh:mm")))</f>
        <v/>
      </c>
      <c r="G359" s="27" t="str">
        <f>IF(DATA2!G359 = 0, "", IF(ISBLANK(DATA2!G359),"",IF(ISBLANK(DATA!E359),DATA2!G359,"Flag override " &amp; TEXT(DATA!E359,"mm/dd/yyyy hh:mm"))))</f>
        <v/>
      </c>
      <c r="H359" s="25" t="str">
        <f>IF(DATA!$G359&gt;0,TEXT(DATA!G359,"mm/dd/yyyy hh:mm"),"")</f>
        <v/>
      </c>
      <c r="I359" s="21"/>
    </row>
    <row r="360" spans="2:9" ht="23.25" x14ac:dyDescent="0.25">
      <c r="B360" s="25" t="str">
        <f t="shared" si="8"/>
        <v/>
      </c>
      <c r="C360" s="25" t="str">
        <f>IF(NOT(ISBLANK(DATA2!C360)),DATA2!C360,"")</f>
        <v/>
      </c>
      <c r="D360" s="25" t="str">
        <f>IF(NOT(ISBLANK(DATA2!D360)),DATA2!D360,"")</f>
        <v/>
      </c>
      <c r="E360" s="26" t="str">
        <f>IF(ISBLANK(DATA2!E360),"",IF(ISBLANK(DATA!C360),DATA2!E360,"Flag override: " &amp; TEXT(DATA!C360, "mm/dd/yyyy hh:mm") ))</f>
        <v/>
      </c>
      <c r="F360" s="27" t="str">
        <f>IF(ISBLANK(DATA2!F360),"",IF(ISBLANK(DATA!D360),DATA2!F360,"Flag override " &amp; TEXT(DATA!D360, "mm/dd/yyyy hh:mm")))</f>
        <v/>
      </c>
      <c r="G360" s="27" t="str">
        <f>IF(DATA2!G360 = 0, "", IF(ISBLANK(DATA2!G360),"",IF(ISBLANK(DATA!E360),DATA2!G360,"Flag override " &amp; TEXT(DATA!E360,"mm/dd/yyyy hh:mm"))))</f>
        <v/>
      </c>
      <c r="H360" s="25" t="str">
        <f>IF(DATA!$G360&gt;0,TEXT(DATA!G360,"mm/dd/yyyy hh:mm"),"")</f>
        <v/>
      </c>
      <c r="I360" s="21"/>
    </row>
    <row r="361" spans="2:9" ht="23.25" x14ac:dyDescent="0.25">
      <c r="B361" s="25" t="str">
        <f t="shared" si="8"/>
        <v/>
      </c>
      <c r="C361" s="25" t="str">
        <f>IF(NOT(ISBLANK(DATA2!C361)),DATA2!C361,"")</f>
        <v/>
      </c>
      <c r="D361" s="25" t="str">
        <f>IF(NOT(ISBLANK(DATA2!D361)),DATA2!D361,"")</f>
        <v/>
      </c>
      <c r="E361" s="26" t="str">
        <f>IF(ISBLANK(DATA2!E361),"",IF(ISBLANK(DATA!C361),DATA2!E361,"Flag override: " &amp; TEXT(DATA!C361, "mm/dd/yyyy hh:mm") ))</f>
        <v/>
      </c>
      <c r="F361" s="27" t="str">
        <f>IF(ISBLANK(DATA2!F361),"",IF(ISBLANK(DATA!D361),DATA2!F361,"Flag override " &amp; TEXT(DATA!D361, "mm/dd/yyyy hh:mm")))</f>
        <v/>
      </c>
      <c r="G361" s="27" t="str">
        <f>IF(DATA2!G361 = 0, "", IF(ISBLANK(DATA2!G361),"",IF(ISBLANK(DATA!E361),DATA2!G361,"Flag override " &amp; TEXT(DATA!E361,"mm/dd/yyyy hh:mm"))))</f>
        <v/>
      </c>
      <c r="H361" s="25" t="str">
        <f>IF(DATA!$G361&gt;0,TEXT(DATA!G361,"mm/dd/yyyy hh:mm"),"")</f>
        <v/>
      </c>
      <c r="I361" s="21"/>
    </row>
    <row r="362" spans="2:9" ht="23.25" x14ac:dyDescent="0.25">
      <c r="B362" s="25" t="str">
        <f t="shared" si="8"/>
        <v/>
      </c>
      <c r="C362" s="25" t="str">
        <f>IF(NOT(ISBLANK(DATA2!C362)),DATA2!C362,"")</f>
        <v/>
      </c>
      <c r="D362" s="25" t="str">
        <f>IF(NOT(ISBLANK(DATA2!D362)),DATA2!D362,"")</f>
        <v/>
      </c>
      <c r="E362" s="26" t="str">
        <f>IF(ISBLANK(DATA2!E362),"",IF(ISBLANK(DATA!C362),DATA2!E362,"Flag override: " &amp; TEXT(DATA!C362, "mm/dd/yyyy hh:mm") ))</f>
        <v/>
      </c>
      <c r="F362" s="27" t="str">
        <f>IF(ISBLANK(DATA2!F362),"",IF(ISBLANK(DATA!D362),DATA2!F362,"Flag override " &amp; TEXT(DATA!D362, "mm/dd/yyyy hh:mm")))</f>
        <v/>
      </c>
      <c r="G362" s="27" t="str">
        <f>IF(DATA2!G362 = 0, "", IF(ISBLANK(DATA2!G362),"",IF(ISBLANK(DATA!E362),DATA2!G362,"Flag override " &amp; TEXT(DATA!E362,"mm/dd/yyyy hh:mm"))))</f>
        <v/>
      </c>
      <c r="H362" s="25" t="str">
        <f>IF(DATA!$G362&gt;0,TEXT(DATA!G362,"mm/dd/yyyy hh:mm"),"")</f>
        <v/>
      </c>
      <c r="I362" s="21"/>
    </row>
    <row r="363" spans="2:9" ht="23.25" x14ac:dyDescent="0.25">
      <c r="B363" s="25" t="str">
        <f t="shared" si="8"/>
        <v/>
      </c>
      <c r="C363" s="25" t="str">
        <f>IF(NOT(ISBLANK(DATA2!C363)),DATA2!C363,"")</f>
        <v/>
      </c>
      <c r="D363" s="25" t="str">
        <f>IF(NOT(ISBLANK(DATA2!D363)),DATA2!D363,"")</f>
        <v/>
      </c>
      <c r="E363" s="26" t="str">
        <f>IF(ISBLANK(DATA2!E363),"",IF(ISBLANK(DATA!C363),DATA2!E363,"Flag override: " &amp; TEXT(DATA!C363, "mm/dd/yyyy hh:mm") ))</f>
        <v/>
      </c>
      <c r="F363" s="27" t="str">
        <f>IF(ISBLANK(DATA2!F363),"",IF(ISBLANK(DATA!D363),DATA2!F363,"Flag override " &amp; TEXT(DATA!D363, "mm/dd/yyyy hh:mm")))</f>
        <v/>
      </c>
      <c r="G363" s="27" t="str">
        <f>IF(DATA2!G363 = 0, "", IF(ISBLANK(DATA2!G363),"",IF(ISBLANK(DATA!E363),DATA2!G363,"Flag override " &amp; TEXT(DATA!E363,"mm/dd/yyyy hh:mm"))))</f>
        <v/>
      </c>
      <c r="H363" s="25" t="str">
        <f>IF(DATA!$G363&gt;0,TEXT(DATA!G363,"mm/dd/yyyy hh:mm"),"")</f>
        <v/>
      </c>
      <c r="I363" s="21"/>
    </row>
    <row r="364" spans="2:9" ht="23.25" x14ac:dyDescent="0.25">
      <c r="B364" s="25" t="str">
        <f t="shared" si="8"/>
        <v/>
      </c>
      <c r="C364" s="25" t="str">
        <f>IF(NOT(ISBLANK(DATA2!C364)),DATA2!C364,"")</f>
        <v/>
      </c>
      <c r="D364" s="25" t="str">
        <f>IF(NOT(ISBLANK(DATA2!D364)),DATA2!D364,"")</f>
        <v/>
      </c>
      <c r="E364" s="26" t="str">
        <f>IF(ISBLANK(DATA2!E364),"",IF(ISBLANK(DATA!C364),DATA2!E364,"Flag override: " &amp; TEXT(DATA!C364, "mm/dd/yyyy hh:mm") ))</f>
        <v/>
      </c>
      <c r="F364" s="27" t="str">
        <f>IF(ISBLANK(DATA2!F364),"",IF(ISBLANK(DATA!D364),DATA2!F364,"Flag override " &amp; TEXT(DATA!D364, "mm/dd/yyyy hh:mm")))</f>
        <v/>
      </c>
      <c r="G364" s="27" t="str">
        <f>IF(DATA2!G364 = 0, "", IF(ISBLANK(DATA2!G364),"",IF(ISBLANK(DATA!E364),DATA2!G364,"Flag override " &amp; TEXT(DATA!E364,"mm/dd/yyyy hh:mm"))))</f>
        <v/>
      </c>
      <c r="H364" s="25" t="str">
        <f>IF(DATA!$G364&gt;0,TEXT(DATA!G364,"mm/dd/yyyy hh:mm"),"")</f>
        <v/>
      </c>
      <c r="I364" s="21"/>
    </row>
    <row r="365" spans="2:9" ht="23.25" x14ac:dyDescent="0.25">
      <c r="B365" s="25" t="str">
        <f t="shared" si="8"/>
        <v/>
      </c>
      <c r="C365" s="25" t="str">
        <f>IF(NOT(ISBLANK(DATA2!C365)),DATA2!C365,"")</f>
        <v/>
      </c>
      <c r="D365" s="25" t="str">
        <f>IF(NOT(ISBLANK(DATA2!D365)),DATA2!D365,"")</f>
        <v/>
      </c>
      <c r="E365" s="26" t="str">
        <f>IF(ISBLANK(DATA2!E365),"",IF(ISBLANK(DATA!C365),DATA2!E365,"Flag override: " &amp; TEXT(DATA!C365, "mm/dd/yyyy hh:mm") ))</f>
        <v/>
      </c>
      <c r="F365" s="27" t="str">
        <f>IF(ISBLANK(DATA2!F365),"",IF(ISBLANK(DATA!D365),DATA2!F365,"Flag override " &amp; TEXT(DATA!D365, "mm/dd/yyyy hh:mm")))</f>
        <v/>
      </c>
      <c r="G365" s="27" t="str">
        <f>IF(DATA2!G365 = 0, "", IF(ISBLANK(DATA2!G365),"",IF(ISBLANK(DATA!E365),DATA2!G365,"Flag override " &amp; TEXT(DATA!E365,"mm/dd/yyyy hh:mm"))))</f>
        <v/>
      </c>
      <c r="H365" s="25" t="str">
        <f>IF(DATA!$G365&gt;0,TEXT(DATA!G365,"mm/dd/yyyy hh:mm"),"")</f>
        <v/>
      </c>
      <c r="I365" s="21"/>
    </row>
    <row r="366" spans="2:9" ht="23.25" x14ac:dyDescent="0.25">
      <c r="B366" s="25" t="str">
        <f t="shared" si="8"/>
        <v/>
      </c>
      <c r="C366" s="25" t="str">
        <f>IF(NOT(ISBLANK(DATA2!C366)),DATA2!C366,"")</f>
        <v/>
      </c>
      <c r="D366" s="25" t="str">
        <f>IF(NOT(ISBLANK(DATA2!D366)),DATA2!D366,"")</f>
        <v/>
      </c>
      <c r="E366" s="26" t="str">
        <f>IF(ISBLANK(DATA2!E366),"",IF(ISBLANK(DATA!C366),DATA2!E366,"Flag override: " &amp; TEXT(DATA!C366, "mm/dd/yyyy hh:mm") ))</f>
        <v/>
      </c>
      <c r="F366" s="27" t="str">
        <f>IF(ISBLANK(DATA2!F366),"",IF(ISBLANK(DATA!D366),DATA2!F366,"Flag override " &amp; TEXT(DATA!D366, "mm/dd/yyyy hh:mm")))</f>
        <v/>
      </c>
      <c r="G366" s="27" t="str">
        <f>IF(DATA2!G366 = 0, "", IF(ISBLANK(DATA2!G366),"",IF(ISBLANK(DATA!E366),DATA2!G366,"Flag override " &amp; TEXT(DATA!E366,"mm/dd/yyyy hh:mm"))))</f>
        <v/>
      </c>
      <c r="H366" s="25" t="str">
        <f>IF(DATA!$G366&gt;0,TEXT(DATA!G366,"mm/dd/yyyy hh:mm"),"")</f>
        <v/>
      </c>
      <c r="I366" s="21"/>
    </row>
    <row r="367" spans="2:9" ht="23.25" x14ac:dyDescent="0.25">
      <c r="B367" s="25" t="str">
        <f t="shared" si="8"/>
        <v/>
      </c>
      <c r="C367" s="25" t="str">
        <f>IF(NOT(ISBLANK(DATA2!C367)),DATA2!C367,"")</f>
        <v/>
      </c>
      <c r="D367" s="25" t="str">
        <f>IF(NOT(ISBLANK(DATA2!D367)),DATA2!D367,"")</f>
        <v/>
      </c>
      <c r="E367" s="26" t="str">
        <f>IF(ISBLANK(DATA2!E367),"",IF(ISBLANK(DATA!C367),DATA2!E367,"Flag override: " &amp; TEXT(DATA!C367, "mm/dd/yyyy hh:mm") ))</f>
        <v/>
      </c>
      <c r="F367" s="27" t="str">
        <f>IF(ISBLANK(DATA2!F367),"",IF(ISBLANK(DATA!D367),DATA2!F367,"Flag override " &amp; TEXT(DATA!D367, "mm/dd/yyyy hh:mm")))</f>
        <v/>
      </c>
      <c r="G367" s="27" t="str">
        <f>IF(DATA2!G367 = 0, "", IF(ISBLANK(DATA2!G367),"",IF(ISBLANK(DATA!E367),DATA2!G367,"Flag override " &amp; TEXT(DATA!E367,"mm/dd/yyyy hh:mm"))))</f>
        <v/>
      </c>
      <c r="H367" s="25" t="str">
        <f>IF(DATA!$G367&gt;0,TEXT(DATA!G367,"mm/dd/yyyy hh:mm"),"")</f>
        <v/>
      </c>
      <c r="I367" s="21"/>
    </row>
    <row r="368" spans="2:9" ht="23.25" x14ac:dyDescent="0.25">
      <c r="B368" s="25" t="str">
        <f t="shared" si="8"/>
        <v/>
      </c>
      <c r="C368" s="25" t="str">
        <f>IF(NOT(ISBLANK(DATA2!C368)),DATA2!C368,"")</f>
        <v/>
      </c>
      <c r="D368" s="25" t="str">
        <f>IF(NOT(ISBLANK(DATA2!D368)),DATA2!D368,"")</f>
        <v/>
      </c>
      <c r="E368" s="26" t="str">
        <f>IF(ISBLANK(DATA2!E368),"",IF(ISBLANK(DATA!C368),DATA2!E368,"Flag override: " &amp; TEXT(DATA!C368, "mm/dd/yyyy hh:mm") ))</f>
        <v/>
      </c>
      <c r="F368" s="27" t="str">
        <f>IF(ISBLANK(DATA2!F368),"",IF(ISBLANK(DATA!D368),DATA2!F368,"Flag override " &amp; TEXT(DATA!D368, "mm/dd/yyyy hh:mm")))</f>
        <v/>
      </c>
      <c r="G368" s="27" t="str">
        <f>IF(DATA2!G368 = 0, "", IF(ISBLANK(DATA2!G368),"",IF(ISBLANK(DATA!E368),DATA2!G368,"Flag override " &amp; TEXT(DATA!E368,"mm/dd/yyyy hh:mm"))))</f>
        <v/>
      </c>
      <c r="H368" s="25" t="str">
        <f>IF(DATA!$G368&gt;0,TEXT(DATA!G368,"mm/dd/yyyy hh:mm"),"")</f>
        <v/>
      </c>
      <c r="I368" s="21"/>
    </row>
    <row r="369" spans="2:9" ht="23.25" x14ac:dyDescent="0.25">
      <c r="B369" s="25" t="str">
        <f t="shared" si="8"/>
        <v/>
      </c>
      <c r="C369" s="25" t="str">
        <f>IF(NOT(ISBLANK(DATA2!C369)),DATA2!C369,"")</f>
        <v/>
      </c>
      <c r="D369" s="25" t="str">
        <f>IF(NOT(ISBLANK(DATA2!D369)),DATA2!D369,"")</f>
        <v/>
      </c>
      <c r="E369" s="26" t="str">
        <f>IF(ISBLANK(DATA2!E369),"",IF(ISBLANK(DATA!C369),DATA2!E369,"Flag override: " &amp; TEXT(DATA!C369, "mm/dd/yyyy hh:mm") ))</f>
        <v/>
      </c>
      <c r="F369" s="27" t="str">
        <f>IF(ISBLANK(DATA2!F369),"",IF(ISBLANK(DATA!D369),DATA2!F369,"Flag override " &amp; TEXT(DATA!D369, "mm/dd/yyyy hh:mm")))</f>
        <v/>
      </c>
      <c r="G369" s="27" t="str">
        <f>IF(DATA2!G369 = 0, "", IF(ISBLANK(DATA2!G369),"",IF(ISBLANK(DATA!E369),DATA2!G369,"Flag override " &amp; TEXT(DATA!E369,"mm/dd/yyyy hh:mm"))))</f>
        <v/>
      </c>
      <c r="H369" s="25" t="str">
        <f>IF(DATA!$G369&gt;0,TEXT(DATA!G369,"mm/dd/yyyy hh:mm"),"")</f>
        <v/>
      </c>
      <c r="I369" s="21"/>
    </row>
    <row r="370" spans="2:9" ht="23.25" x14ac:dyDescent="0.25">
      <c r="B370" s="25" t="str">
        <f t="shared" si="8"/>
        <v/>
      </c>
      <c r="C370" s="25" t="str">
        <f>IF(NOT(ISBLANK(DATA2!C370)),DATA2!C370,"")</f>
        <v/>
      </c>
      <c r="D370" s="25" t="str">
        <f>IF(NOT(ISBLANK(DATA2!D370)),DATA2!D370,"")</f>
        <v/>
      </c>
      <c r="E370" s="26" t="str">
        <f>IF(ISBLANK(DATA2!E370),"",IF(ISBLANK(DATA!C370),DATA2!E370,"Flag override: " &amp; TEXT(DATA!C370, "mm/dd/yyyy hh:mm") ))</f>
        <v/>
      </c>
      <c r="F370" s="27" t="str">
        <f>IF(ISBLANK(DATA2!F370),"",IF(ISBLANK(DATA!D370),DATA2!F370,"Flag override " &amp; TEXT(DATA!D370, "mm/dd/yyyy hh:mm")))</f>
        <v/>
      </c>
      <c r="G370" s="27" t="str">
        <f>IF(DATA2!G370 = 0, "", IF(ISBLANK(DATA2!G370),"",IF(ISBLANK(DATA!E370),DATA2!G370,"Flag override " &amp; TEXT(DATA!E370,"mm/dd/yyyy hh:mm"))))</f>
        <v/>
      </c>
      <c r="H370" s="25" t="str">
        <f>IF(DATA!$G370&gt;0,TEXT(DATA!G370,"mm/dd/yyyy hh:mm"),"")</f>
        <v/>
      </c>
      <c r="I370" s="21"/>
    </row>
    <row r="371" spans="2:9" ht="23.25" x14ac:dyDescent="0.25">
      <c r="B371" s="25" t="str">
        <f t="shared" si="8"/>
        <v/>
      </c>
      <c r="C371" s="25" t="str">
        <f>IF(NOT(ISBLANK(DATA2!C371)),DATA2!C371,"")</f>
        <v/>
      </c>
      <c r="D371" s="25" t="str">
        <f>IF(NOT(ISBLANK(DATA2!D371)),DATA2!D371,"")</f>
        <v/>
      </c>
      <c r="E371" s="26" t="str">
        <f>IF(ISBLANK(DATA2!E371),"",IF(ISBLANK(DATA!C371),DATA2!E371,"Flag override: " &amp; TEXT(DATA!C371, "mm/dd/yyyy hh:mm") ))</f>
        <v/>
      </c>
      <c r="F371" s="27" t="str">
        <f>IF(ISBLANK(DATA2!F371),"",IF(ISBLANK(DATA!D371),DATA2!F371,"Flag override " &amp; TEXT(DATA!D371, "mm/dd/yyyy hh:mm")))</f>
        <v/>
      </c>
      <c r="G371" s="27" t="str">
        <f>IF(DATA2!G371 = 0, "", IF(ISBLANK(DATA2!G371),"",IF(ISBLANK(DATA!E371),DATA2!G371,"Flag override " &amp; TEXT(DATA!E371,"mm/dd/yyyy hh:mm"))))</f>
        <v/>
      </c>
      <c r="H371" s="25" t="str">
        <f>IF(DATA!$G371&gt;0,TEXT(DATA!G371,"mm/dd/yyyy hh:mm"),"")</f>
        <v/>
      </c>
      <c r="I371" s="21"/>
    </row>
    <row r="372" spans="2:9" ht="23.25" x14ac:dyDescent="0.25">
      <c r="B372" s="25" t="str">
        <f t="shared" si="8"/>
        <v/>
      </c>
      <c r="C372" s="25" t="str">
        <f>IF(NOT(ISBLANK(DATA2!C372)),DATA2!C372,"")</f>
        <v/>
      </c>
      <c r="D372" s="25" t="str">
        <f>IF(NOT(ISBLANK(DATA2!D372)),DATA2!D372,"")</f>
        <v/>
      </c>
      <c r="E372" s="26" t="str">
        <f>IF(ISBLANK(DATA2!E372),"",IF(ISBLANK(DATA!C372),DATA2!E372,"Flag override: " &amp; TEXT(DATA!C372, "mm/dd/yyyy hh:mm") ))</f>
        <v/>
      </c>
      <c r="F372" s="27" t="str">
        <f>IF(ISBLANK(DATA2!F372),"",IF(ISBLANK(DATA!D372),DATA2!F372,"Flag override " &amp; TEXT(DATA!D372, "mm/dd/yyyy hh:mm")))</f>
        <v/>
      </c>
      <c r="G372" s="27" t="str">
        <f>IF(DATA2!G372 = 0, "", IF(ISBLANK(DATA2!G372),"",IF(ISBLANK(DATA!E372),DATA2!G372,"Flag override " &amp; TEXT(DATA!E372,"mm/dd/yyyy hh:mm"))))</f>
        <v/>
      </c>
      <c r="H372" s="25" t="str">
        <f>IF(DATA!$G372&gt;0,TEXT(DATA!G372,"mm/dd/yyyy hh:mm"),"")</f>
        <v/>
      </c>
      <c r="I372" s="21"/>
    </row>
    <row r="373" spans="2:9" ht="23.25" x14ac:dyDescent="0.25">
      <c r="B373" s="25" t="str">
        <f t="shared" si="8"/>
        <v/>
      </c>
      <c r="C373" s="25" t="str">
        <f>IF(NOT(ISBLANK(DATA2!C373)),DATA2!C373,"")</f>
        <v/>
      </c>
      <c r="D373" s="25" t="str">
        <f>IF(NOT(ISBLANK(DATA2!D373)),DATA2!D373,"")</f>
        <v/>
      </c>
      <c r="E373" s="26" t="str">
        <f>IF(ISBLANK(DATA2!E373),"",IF(ISBLANK(DATA!C373),DATA2!E373,"Flag override: " &amp; TEXT(DATA!C373, "mm/dd/yyyy hh:mm") ))</f>
        <v/>
      </c>
      <c r="F373" s="27" t="str">
        <f>IF(ISBLANK(DATA2!F373),"",IF(ISBLANK(DATA!D373),DATA2!F373,"Flag override " &amp; TEXT(DATA!D373, "mm/dd/yyyy hh:mm")))</f>
        <v/>
      </c>
      <c r="G373" s="27" t="str">
        <f>IF(DATA2!G373 = 0, "", IF(ISBLANK(DATA2!G373),"",IF(ISBLANK(DATA!E373),DATA2!G373,"Flag override " &amp; TEXT(DATA!E373,"mm/dd/yyyy hh:mm"))))</f>
        <v/>
      </c>
      <c r="H373" s="25" t="str">
        <f>IF(DATA!$G373&gt;0,TEXT(DATA!G373,"mm/dd/yyyy hh:mm"),"")</f>
        <v/>
      </c>
      <c r="I373" s="21"/>
    </row>
    <row r="374" spans="2:9" ht="23.25" x14ac:dyDescent="0.25">
      <c r="B374" s="25" t="str">
        <f t="shared" si="8"/>
        <v/>
      </c>
      <c r="C374" s="25" t="str">
        <f>IF(NOT(ISBLANK(DATA2!C374)),DATA2!C374,"")</f>
        <v/>
      </c>
      <c r="D374" s="25" t="str">
        <f>IF(NOT(ISBLANK(DATA2!D374)),DATA2!D374,"")</f>
        <v/>
      </c>
      <c r="E374" s="26" t="str">
        <f>IF(ISBLANK(DATA2!E374),"",IF(ISBLANK(DATA!C374),DATA2!E374,"Flag override: " &amp; TEXT(DATA!C374, "mm/dd/yyyy hh:mm") ))</f>
        <v/>
      </c>
      <c r="F374" s="27" t="str">
        <f>IF(ISBLANK(DATA2!F374),"",IF(ISBLANK(DATA!D374),DATA2!F374,"Flag override " &amp; TEXT(DATA!D374, "mm/dd/yyyy hh:mm")))</f>
        <v/>
      </c>
      <c r="G374" s="27" t="str">
        <f>IF(DATA2!G374 = 0, "", IF(ISBLANK(DATA2!G374),"",IF(ISBLANK(DATA!E374),DATA2!G374,"Flag override " &amp; TEXT(DATA!E374,"mm/dd/yyyy hh:mm"))))</f>
        <v/>
      </c>
      <c r="H374" s="25" t="str">
        <f>IF(DATA!$G374&gt;0,TEXT(DATA!G374,"mm/dd/yyyy hh:mm"),"")</f>
        <v/>
      </c>
      <c r="I374" s="21"/>
    </row>
    <row r="375" spans="2:9" ht="23.25" x14ac:dyDescent="0.25">
      <c r="B375" s="25" t="str">
        <f t="shared" si="8"/>
        <v/>
      </c>
      <c r="C375" s="25" t="str">
        <f>IF(NOT(ISBLANK(DATA2!C375)),DATA2!C375,"")</f>
        <v/>
      </c>
      <c r="D375" s="25" t="str">
        <f>IF(NOT(ISBLANK(DATA2!D375)),DATA2!D375,"")</f>
        <v/>
      </c>
      <c r="E375" s="26" t="str">
        <f>IF(ISBLANK(DATA2!E375),"",IF(ISBLANK(DATA!C375),DATA2!E375,"Flag override: " &amp; TEXT(DATA!C375, "mm/dd/yyyy hh:mm") ))</f>
        <v/>
      </c>
      <c r="F375" s="27" t="str">
        <f>IF(ISBLANK(DATA2!F375),"",IF(ISBLANK(DATA!D375),DATA2!F375,"Flag override " &amp; TEXT(DATA!D375, "mm/dd/yyyy hh:mm")))</f>
        <v/>
      </c>
      <c r="G375" s="27" t="str">
        <f>IF(DATA2!G375 = 0, "", IF(ISBLANK(DATA2!G375),"",IF(ISBLANK(DATA!E375),DATA2!G375,"Flag override " &amp; TEXT(DATA!E375,"mm/dd/yyyy hh:mm"))))</f>
        <v/>
      </c>
      <c r="H375" s="25" t="str">
        <f>IF(DATA!$G375&gt;0,TEXT(DATA!G375,"mm/dd/yyyy hh:mm"),"")</f>
        <v/>
      </c>
      <c r="I375" s="21"/>
    </row>
    <row r="376" spans="2:9" ht="23.25" x14ac:dyDescent="0.25">
      <c r="B376" s="25" t="str">
        <f t="shared" si="8"/>
        <v/>
      </c>
      <c r="C376" s="25" t="str">
        <f>IF(NOT(ISBLANK(DATA2!C376)),DATA2!C376,"")</f>
        <v/>
      </c>
      <c r="D376" s="25" t="str">
        <f>IF(NOT(ISBLANK(DATA2!D376)),DATA2!D376,"")</f>
        <v/>
      </c>
      <c r="E376" s="26" t="str">
        <f>IF(ISBLANK(DATA2!E376),"",IF(ISBLANK(DATA!C376),DATA2!E376,"Flag override: " &amp; TEXT(DATA!C376, "mm/dd/yyyy hh:mm") ))</f>
        <v/>
      </c>
      <c r="F376" s="27" t="str">
        <f>IF(ISBLANK(DATA2!F376),"",IF(ISBLANK(DATA!D376),DATA2!F376,"Flag override " &amp; TEXT(DATA!D376, "mm/dd/yyyy hh:mm")))</f>
        <v/>
      </c>
      <c r="G376" s="27" t="str">
        <f>IF(DATA2!G376 = 0, "", IF(ISBLANK(DATA2!G376),"",IF(ISBLANK(DATA!E376),DATA2!G376,"Flag override " &amp; TEXT(DATA!E376,"mm/dd/yyyy hh:mm"))))</f>
        <v/>
      </c>
      <c r="H376" s="25" t="str">
        <f>IF(DATA!$G376&gt;0,TEXT(DATA!G376,"mm/dd/yyyy hh:mm"),"")</f>
        <v/>
      </c>
      <c r="I376" s="21"/>
    </row>
    <row r="377" spans="2:9" ht="23.25" x14ac:dyDescent="0.25">
      <c r="B377" s="25" t="str">
        <f t="shared" si="8"/>
        <v/>
      </c>
      <c r="C377" s="25" t="str">
        <f>IF(NOT(ISBLANK(DATA2!C377)),DATA2!C377,"")</f>
        <v/>
      </c>
      <c r="D377" s="25" t="str">
        <f>IF(NOT(ISBLANK(DATA2!D377)),DATA2!D377,"")</f>
        <v/>
      </c>
      <c r="E377" s="26" t="str">
        <f>IF(ISBLANK(DATA2!E377),"",IF(ISBLANK(DATA!C377),DATA2!E377,"Flag override: " &amp; TEXT(DATA!C377, "mm/dd/yyyy hh:mm") ))</f>
        <v/>
      </c>
      <c r="F377" s="27" t="str">
        <f>IF(ISBLANK(DATA2!F377),"",IF(ISBLANK(DATA!D377),DATA2!F377,"Flag override " &amp; TEXT(DATA!D377, "mm/dd/yyyy hh:mm")))</f>
        <v/>
      </c>
      <c r="G377" s="27" t="str">
        <f>IF(DATA2!G377 = 0, "", IF(ISBLANK(DATA2!G377),"",IF(ISBLANK(DATA!E377),DATA2!G377,"Flag override " &amp; TEXT(DATA!E377,"mm/dd/yyyy hh:mm"))))</f>
        <v/>
      </c>
      <c r="H377" s="25" t="str">
        <f>IF(DATA!$G377&gt;0,TEXT(DATA!G377,"mm/dd/yyyy hh:mm"),"")</f>
        <v/>
      </c>
      <c r="I377" s="21"/>
    </row>
    <row r="378" spans="2:9" ht="23.25" x14ac:dyDescent="0.25">
      <c r="B378" s="25" t="str">
        <f t="shared" si="8"/>
        <v/>
      </c>
      <c r="C378" s="25" t="str">
        <f>IF(NOT(ISBLANK(DATA2!C378)),DATA2!C378,"")</f>
        <v/>
      </c>
      <c r="D378" s="25" t="str">
        <f>IF(NOT(ISBLANK(DATA2!D378)),DATA2!D378,"")</f>
        <v/>
      </c>
      <c r="E378" s="26" t="str">
        <f>IF(ISBLANK(DATA2!E378),"",IF(ISBLANK(DATA!C378),DATA2!E378,"Flag override: " &amp; TEXT(DATA!C378, "mm/dd/yyyy hh:mm") ))</f>
        <v/>
      </c>
      <c r="F378" s="27" t="str">
        <f>IF(ISBLANK(DATA2!F378),"",IF(ISBLANK(DATA!D378),DATA2!F378,"Flag override " &amp; TEXT(DATA!D378, "mm/dd/yyyy hh:mm")))</f>
        <v/>
      </c>
      <c r="G378" s="27" t="str">
        <f>IF(DATA2!G378 = 0, "", IF(ISBLANK(DATA2!G378),"",IF(ISBLANK(DATA!E378),DATA2!G378,"Flag override " &amp; TEXT(DATA!E378,"mm/dd/yyyy hh:mm"))))</f>
        <v/>
      </c>
      <c r="H378" s="25" t="str">
        <f>IF(DATA!$G378&gt;0,TEXT(DATA!G378,"mm/dd/yyyy hh:mm"),"")</f>
        <v/>
      </c>
      <c r="I378" s="21"/>
    </row>
    <row r="379" spans="2:9" ht="23.25" x14ac:dyDescent="0.25">
      <c r="B379" s="25" t="str">
        <f t="shared" si="8"/>
        <v/>
      </c>
      <c r="C379" s="25" t="str">
        <f>IF(NOT(ISBLANK(DATA2!C379)),DATA2!C379,"")</f>
        <v/>
      </c>
      <c r="D379" s="25" t="str">
        <f>IF(NOT(ISBLANK(DATA2!D379)),DATA2!D379,"")</f>
        <v/>
      </c>
      <c r="E379" s="26" t="str">
        <f>IF(ISBLANK(DATA2!E379),"",IF(ISBLANK(DATA!C379),DATA2!E379,"Flag override: " &amp; TEXT(DATA!C379, "mm/dd/yyyy hh:mm") ))</f>
        <v/>
      </c>
      <c r="F379" s="27" t="str">
        <f>IF(ISBLANK(DATA2!F379),"",IF(ISBLANK(DATA!D379),DATA2!F379,"Flag override " &amp; TEXT(DATA!D379, "mm/dd/yyyy hh:mm")))</f>
        <v/>
      </c>
      <c r="G379" s="27" t="str">
        <f>IF(DATA2!G379 = 0, "", IF(ISBLANK(DATA2!G379),"",IF(ISBLANK(DATA!E379),DATA2!G379,"Flag override " &amp; TEXT(DATA!E379,"mm/dd/yyyy hh:mm"))))</f>
        <v/>
      </c>
      <c r="H379" s="25" t="str">
        <f>IF(DATA!$G379&gt;0,TEXT(DATA!G379,"mm/dd/yyyy hh:mm"),"")</f>
        <v/>
      </c>
      <c r="I379" s="21"/>
    </row>
    <row r="380" spans="2:9" ht="23.25" x14ac:dyDescent="0.25">
      <c r="B380" s="25" t="str">
        <f t="shared" si="8"/>
        <v/>
      </c>
      <c r="C380" s="25" t="str">
        <f>IF(NOT(ISBLANK(DATA2!C380)),DATA2!C380,"")</f>
        <v/>
      </c>
      <c r="D380" s="25" t="str">
        <f>IF(NOT(ISBLANK(DATA2!D380)),DATA2!D380,"")</f>
        <v/>
      </c>
      <c r="E380" s="26" t="str">
        <f>IF(ISBLANK(DATA2!E380),"",IF(ISBLANK(DATA!C380),DATA2!E380,"Flag override: " &amp; TEXT(DATA!C380, "mm/dd/yyyy hh:mm") ))</f>
        <v/>
      </c>
      <c r="F380" s="27" t="str">
        <f>IF(ISBLANK(DATA2!F380),"",IF(ISBLANK(DATA!D380),DATA2!F380,"Flag override " &amp; TEXT(DATA!D380, "mm/dd/yyyy hh:mm")))</f>
        <v/>
      </c>
      <c r="G380" s="27" t="str">
        <f>IF(DATA2!G380 = 0, "", IF(ISBLANK(DATA2!G380),"",IF(ISBLANK(DATA!E380),DATA2!G380,"Flag override " &amp; TEXT(DATA!E380,"mm/dd/yyyy hh:mm"))))</f>
        <v/>
      </c>
      <c r="H380" s="25" t="str">
        <f>IF(DATA!$G380&gt;0,TEXT(DATA!G380,"mm/dd/yyyy hh:mm"),"")</f>
        <v/>
      </c>
      <c r="I380" s="21"/>
    </row>
    <row r="381" spans="2:9" ht="23.25" x14ac:dyDescent="0.25">
      <c r="B381" s="25" t="str">
        <f t="shared" si="8"/>
        <v/>
      </c>
      <c r="C381" s="25" t="str">
        <f>IF(NOT(ISBLANK(DATA2!C381)),DATA2!C381,"")</f>
        <v/>
      </c>
      <c r="D381" s="25" t="str">
        <f>IF(NOT(ISBLANK(DATA2!D381)),DATA2!D381,"")</f>
        <v/>
      </c>
      <c r="E381" s="26" t="str">
        <f>IF(ISBLANK(DATA2!E381),"",IF(ISBLANK(DATA!C381),DATA2!E381,"Flag override: " &amp; TEXT(DATA!C381, "mm/dd/yyyy hh:mm") ))</f>
        <v/>
      </c>
      <c r="F381" s="27" t="str">
        <f>IF(ISBLANK(DATA2!F381),"",IF(ISBLANK(DATA!D381),DATA2!F381,"Flag override " &amp; TEXT(DATA!D381, "mm/dd/yyyy hh:mm")))</f>
        <v/>
      </c>
      <c r="G381" s="27" t="str">
        <f>IF(DATA2!G381 = 0, "", IF(ISBLANK(DATA2!G381),"",IF(ISBLANK(DATA!E381),DATA2!G381,"Flag override " &amp; TEXT(DATA!E381,"mm/dd/yyyy hh:mm"))))</f>
        <v/>
      </c>
      <c r="H381" s="25" t="str">
        <f>IF(DATA!$G381&gt;0,TEXT(DATA!G381,"mm/dd/yyyy hh:mm"),"")</f>
        <v/>
      </c>
      <c r="I381" s="21"/>
    </row>
    <row r="382" spans="2:9" ht="23.25" x14ac:dyDescent="0.25">
      <c r="B382" s="25" t="str">
        <f t="shared" si="8"/>
        <v/>
      </c>
      <c r="C382" s="25" t="str">
        <f>IF(NOT(ISBLANK(DATA2!C382)),DATA2!C382,"")</f>
        <v/>
      </c>
      <c r="D382" s="25" t="str">
        <f>IF(NOT(ISBLANK(DATA2!D382)),DATA2!D382,"")</f>
        <v/>
      </c>
      <c r="E382" s="26" t="str">
        <f>IF(ISBLANK(DATA2!E382),"",IF(ISBLANK(DATA!C382),DATA2!E382,"Flag override: " &amp; TEXT(DATA!C382, "mm/dd/yyyy hh:mm") ))</f>
        <v/>
      </c>
      <c r="F382" s="27" t="str">
        <f>IF(ISBLANK(DATA2!F382),"",IF(ISBLANK(DATA!D382),DATA2!F382,"Flag override " &amp; TEXT(DATA!D382, "mm/dd/yyyy hh:mm")))</f>
        <v/>
      </c>
      <c r="G382" s="27" t="str">
        <f>IF(DATA2!G382 = 0, "", IF(ISBLANK(DATA2!G382),"",IF(ISBLANK(DATA!E382),DATA2!G382,"Flag override " &amp; TEXT(DATA!E382,"mm/dd/yyyy hh:mm"))))</f>
        <v/>
      </c>
      <c r="H382" s="25" t="str">
        <f>IF(DATA!$G382&gt;0,TEXT(DATA!G382,"mm/dd/yyyy hh:mm"),"")</f>
        <v/>
      </c>
      <c r="I382" s="21"/>
    </row>
    <row r="383" spans="2:9" ht="23.25" x14ac:dyDescent="0.25">
      <c r="B383" s="25" t="str">
        <f t="shared" si="8"/>
        <v/>
      </c>
      <c r="C383" s="25" t="str">
        <f>IF(NOT(ISBLANK(DATA2!C383)),DATA2!C383,"")</f>
        <v/>
      </c>
      <c r="D383" s="25" t="str">
        <f>IF(NOT(ISBLANK(DATA2!D383)),DATA2!D383,"")</f>
        <v/>
      </c>
      <c r="E383" s="26" t="str">
        <f>IF(ISBLANK(DATA2!E383),"",IF(ISBLANK(DATA!C383),DATA2!E383,"Flag override: " &amp; TEXT(DATA!C383, "mm/dd/yyyy hh:mm") ))</f>
        <v/>
      </c>
      <c r="F383" s="27" t="str">
        <f>IF(ISBLANK(DATA2!F383),"",IF(ISBLANK(DATA!D383),DATA2!F383,"Flag override " &amp; TEXT(DATA!D383, "mm/dd/yyyy hh:mm")))</f>
        <v/>
      </c>
      <c r="G383" s="27" t="str">
        <f>IF(DATA2!G383 = 0, "", IF(ISBLANK(DATA2!G383),"",IF(ISBLANK(DATA!E383),DATA2!G383,"Flag override " &amp; TEXT(DATA!E383,"mm/dd/yyyy hh:mm"))))</f>
        <v/>
      </c>
      <c r="H383" s="25" t="str">
        <f>IF(DATA!$G383&gt;0,TEXT(DATA!G383,"mm/dd/yyyy hh:mm"),"")</f>
        <v/>
      </c>
      <c r="I383" s="21"/>
    </row>
    <row r="384" spans="2:9" ht="23.25" x14ac:dyDescent="0.25">
      <c r="B384" s="25" t="str">
        <f t="shared" si="8"/>
        <v/>
      </c>
      <c r="C384" s="25" t="str">
        <f>IF(NOT(ISBLANK(DATA2!C384)),DATA2!C384,"")</f>
        <v/>
      </c>
      <c r="D384" s="25" t="str">
        <f>IF(NOT(ISBLANK(DATA2!D384)),DATA2!D384,"")</f>
        <v/>
      </c>
      <c r="E384" s="26" t="str">
        <f>IF(ISBLANK(DATA2!E384),"",IF(ISBLANK(DATA!C384),DATA2!E384,"Flag override: " &amp; TEXT(DATA!C384, "mm/dd/yyyy hh:mm") ))</f>
        <v/>
      </c>
      <c r="F384" s="27" t="str">
        <f>IF(ISBLANK(DATA2!F384),"",IF(ISBLANK(DATA!D384),DATA2!F384,"Flag override " &amp; TEXT(DATA!D384, "mm/dd/yyyy hh:mm")))</f>
        <v/>
      </c>
      <c r="G384" s="27" t="str">
        <f>IF(DATA2!G384 = 0, "", IF(ISBLANK(DATA2!G384),"",IF(ISBLANK(DATA!E384),DATA2!G384,"Flag override " &amp; TEXT(DATA!E384,"mm/dd/yyyy hh:mm"))))</f>
        <v/>
      </c>
      <c r="H384" s="25" t="str">
        <f>IF(DATA!$G384&gt;0,TEXT(DATA!G384,"mm/dd/yyyy hh:mm"),"")</f>
        <v/>
      </c>
      <c r="I384" s="21"/>
    </row>
    <row r="385" spans="2:9" ht="23.25" x14ac:dyDescent="0.25">
      <c r="B385" s="25" t="str">
        <f t="shared" si="8"/>
        <v/>
      </c>
      <c r="C385" s="25" t="str">
        <f>IF(NOT(ISBLANK(DATA2!C385)),DATA2!C385,"")</f>
        <v/>
      </c>
      <c r="D385" s="25" t="str">
        <f>IF(NOT(ISBLANK(DATA2!D385)),DATA2!D385,"")</f>
        <v/>
      </c>
      <c r="E385" s="26" t="str">
        <f>IF(ISBLANK(DATA2!E385),"",IF(ISBLANK(DATA!C385),DATA2!E385,"Flag override: " &amp; TEXT(DATA!C385, "mm/dd/yyyy hh:mm") ))</f>
        <v/>
      </c>
      <c r="F385" s="27" t="str">
        <f>IF(ISBLANK(DATA2!F385),"",IF(ISBLANK(DATA!D385),DATA2!F385,"Flag override " &amp; TEXT(DATA!D385, "mm/dd/yyyy hh:mm")))</f>
        <v/>
      </c>
      <c r="G385" s="27" t="str">
        <f>IF(DATA2!G385 = 0, "", IF(ISBLANK(DATA2!G385),"",IF(ISBLANK(DATA!E385),DATA2!G385,"Flag override " &amp; TEXT(DATA!E385,"mm/dd/yyyy hh:mm"))))</f>
        <v/>
      </c>
      <c r="H385" s="25" t="str">
        <f>IF(DATA!$G385&gt;0,TEXT(DATA!G385,"mm/dd/yyyy hh:mm"),"")</f>
        <v/>
      </c>
      <c r="I385" s="21"/>
    </row>
    <row r="386" spans="2:9" ht="23.25" x14ac:dyDescent="0.25">
      <c r="B386" s="25" t="str">
        <f t="shared" si="8"/>
        <v/>
      </c>
      <c r="C386" s="25" t="str">
        <f>IF(NOT(ISBLANK(DATA2!C386)),DATA2!C386,"")</f>
        <v/>
      </c>
      <c r="D386" s="25" t="str">
        <f>IF(NOT(ISBLANK(DATA2!D386)),DATA2!D386,"")</f>
        <v/>
      </c>
      <c r="E386" s="26" t="str">
        <f>IF(ISBLANK(DATA2!E386),"",IF(ISBLANK(DATA!C386),DATA2!E386,"Flag override: " &amp; TEXT(DATA!C386, "mm/dd/yyyy hh:mm") ))</f>
        <v/>
      </c>
      <c r="F386" s="27" t="str">
        <f>IF(ISBLANK(DATA2!F386),"",IF(ISBLANK(DATA!D386),DATA2!F386,"Flag override " &amp; TEXT(DATA!D386, "mm/dd/yyyy hh:mm")))</f>
        <v/>
      </c>
      <c r="G386" s="27" t="str">
        <f>IF(DATA2!G386 = 0, "", IF(ISBLANK(DATA2!G386),"",IF(ISBLANK(DATA!E386),DATA2!G386,"Flag override " &amp; TEXT(DATA!E386,"mm/dd/yyyy hh:mm"))))</f>
        <v/>
      </c>
      <c r="H386" s="25" t="str">
        <f>IF(DATA!$G386&gt;0,TEXT(DATA!G386,"mm/dd/yyyy hh:mm"),"")</f>
        <v/>
      </c>
      <c r="I386" s="21"/>
    </row>
    <row r="387" spans="2:9" ht="23.25" x14ac:dyDescent="0.25">
      <c r="B387" s="25" t="str">
        <f t="shared" si="8"/>
        <v/>
      </c>
      <c r="C387" s="25" t="str">
        <f>IF(NOT(ISBLANK(DATA2!C387)),DATA2!C387,"")</f>
        <v/>
      </c>
      <c r="D387" s="25" t="str">
        <f>IF(NOT(ISBLANK(DATA2!D387)),DATA2!D387,"")</f>
        <v/>
      </c>
      <c r="E387" s="26" t="str">
        <f>IF(ISBLANK(DATA2!E387),"",IF(ISBLANK(DATA!C387),DATA2!E387,"Flag override: " &amp; TEXT(DATA!C387, "mm/dd/yyyy hh:mm") ))</f>
        <v/>
      </c>
      <c r="F387" s="27" t="str">
        <f>IF(ISBLANK(DATA2!F387),"",IF(ISBLANK(DATA!D387),DATA2!F387,"Flag override " &amp; TEXT(DATA!D387, "mm/dd/yyyy hh:mm")))</f>
        <v/>
      </c>
      <c r="G387" s="27" t="str">
        <f>IF(DATA2!G387 = 0, "", IF(ISBLANK(DATA2!G387),"",IF(ISBLANK(DATA!E387),DATA2!G387,"Flag override " &amp; TEXT(DATA!E387,"mm/dd/yyyy hh:mm"))))</f>
        <v/>
      </c>
      <c r="H387" s="25" t="str">
        <f>IF(DATA!$G387&gt;0,TEXT(DATA!G387,"mm/dd/yyyy hh:mm"),"")</f>
        <v/>
      </c>
      <c r="I387" s="21"/>
    </row>
    <row r="388" spans="2:9" ht="23.25" x14ac:dyDescent="0.25">
      <c r="B388" s="25" t="str">
        <f t="shared" si="8"/>
        <v/>
      </c>
      <c r="C388" s="25" t="str">
        <f>IF(NOT(ISBLANK(DATA2!C388)),DATA2!C388,"")</f>
        <v/>
      </c>
      <c r="D388" s="25" t="str">
        <f>IF(NOT(ISBLANK(DATA2!D388)),DATA2!D388,"")</f>
        <v/>
      </c>
      <c r="E388" s="26" t="str">
        <f>IF(ISBLANK(DATA2!E388),"",IF(ISBLANK(DATA!C388),DATA2!E388,"Flag override: " &amp; TEXT(DATA!C388, "mm/dd/yyyy hh:mm") ))</f>
        <v/>
      </c>
      <c r="F388" s="27" t="str">
        <f>IF(ISBLANK(DATA2!F388),"",IF(ISBLANK(DATA!D388),DATA2!F388,"Flag override " &amp; TEXT(DATA!D388, "mm/dd/yyyy hh:mm")))</f>
        <v/>
      </c>
      <c r="G388" s="27" t="str">
        <f>IF(DATA2!G388 = 0, "", IF(ISBLANK(DATA2!G388),"",IF(ISBLANK(DATA!E388),DATA2!G388,"Flag override " &amp; TEXT(DATA!E388,"mm/dd/yyyy hh:mm"))))</f>
        <v/>
      </c>
      <c r="H388" s="25" t="str">
        <f>IF(DATA!$G388&gt;0,TEXT(DATA!G388,"mm/dd/yyyy hh:mm"),"")</f>
        <v/>
      </c>
      <c r="I388" s="21"/>
    </row>
    <row r="389" spans="2:9" ht="23.25" x14ac:dyDescent="0.25">
      <c r="B389" s="25" t="str">
        <f t="shared" si="8"/>
        <v/>
      </c>
      <c r="C389" s="25" t="str">
        <f>IF(NOT(ISBLANK(DATA2!C389)),DATA2!C389,"")</f>
        <v/>
      </c>
      <c r="D389" s="25" t="str">
        <f>IF(NOT(ISBLANK(DATA2!D389)),DATA2!D389,"")</f>
        <v/>
      </c>
      <c r="E389" s="26" t="str">
        <f>IF(ISBLANK(DATA2!E389),"",IF(ISBLANK(DATA!C389),DATA2!E389,"Flag override: " &amp; TEXT(DATA!C389, "mm/dd/yyyy hh:mm") ))</f>
        <v/>
      </c>
      <c r="F389" s="27" t="str">
        <f>IF(ISBLANK(DATA2!F389),"",IF(ISBLANK(DATA!D389),DATA2!F389,"Flag override " &amp; TEXT(DATA!D389, "mm/dd/yyyy hh:mm")))</f>
        <v/>
      </c>
      <c r="G389" s="27" t="str">
        <f>IF(DATA2!G389 = 0, "", IF(ISBLANK(DATA2!G389),"",IF(ISBLANK(DATA!E389),DATA2!G389,"Flag override " &amp; TEXT(DATA!E389,"mm/dd/yyyy hh:mm"))))</f>
        <v/>
      </c>
      <c r="H389" s="25" t="str">
        <f>IF(DATA!$G389&gt;0,TEXT(DATA!G389,"mm/dd/yyyy hh:mm"),"")</f>
        <v/>
      </c>
      <c r="I389" s="21"/>
    </row>
    <row r="390" spans="2:9" ht="23.25" x14ac:dyDescent="0.25">
      <c r="B390" s="25" t="str">
        <f t="shared" si="8"/>
        <v/>
      </c>
      <c r="C390" s="25" t="str">
        <f>IF(NOT(ISBLANK(DATA2!C390)),DATA2!C390,"")</f>
        <v/>
      </c>
      <c r="D390" s="25" t="str">
        <f>IF(NOT(ISBLANK(DATA2!D390)),DATA2!D390,"")</f>
        <v/>
      </c>
      <c r="E390" s="26" t="str">
        <f>IF(ISBLANK(DATA2!E390),"",IF(ISBLANK(DATA!C390),DATA2!E390,"Flag override: " &amp; TEXT(DATA!C390, "mm/dd/yyyy hh:mm") ))</f>
        <v/>
      </c>
      <c r="F390" s="27" t="str">
        <f>IF(ISBLANK(DATA2!F390),"",IF(ISBLANK(DATA!D390),DATA2!F390,"Flag override " &amp; TEXT(DATA!D390, "mm/dd/yyyy hh:mm")))</f>
        <v/>
      </c>
      <c r="G390" s="27" t="str">
        <f>IF(DATA2!G390 = 0, "", IF(ISBLANK(DATA2!G390),"",IF(ISBLANK(DATA!E390),DATA2!G390,"Flag override " &amp; TEXT(DATA!E390,"mm/dd/yyyy hh:mm"))))</f>
        <v/>
      </c>
      <c r="H390" s="25" t="str">
        <f>IF(DATA!$G390&gt;0,TEXT(DATA!G390,"mm/dd/yyyy hh:mm"),"")</f>
        <v/>
      </c>
      <c r="I390" s="21"/>
    </row>
    <row r="391" spans="2:9" ht="23.25" x14ac:dyDescent="0.25">
      <c r="B391" s="25" t="str">
        <f t="shared" si="8"/>
        <v/>
      </c>
      <c r="C391" s="25" t="str">
        <f>IF(NOT(ISBLANK(DATA2!C391)),DATA2!C391,"")</f>
        <v/>
      </c>
      <c r="D391" s="25" t="str">
        <f>IF(NOT(ISBLANK(DATA2!D391)),DATA2!D391,"")</f>
        <v/>
      </c>
      <c r="E391" s="26" t="str">
        <f>IF(ISBLANK(DATA2!E391),"",IF(ISBLANK(DATA!C391),DATA2!E391,"Flag override: " &amp; TEXT(DATA!C391, "mm/dd/yyyy hh:mm") ))</f>
        <v/>
      </c>
      <c r="F391" s="27" t="str">
        <f>IF(ISBLANK(DATA2!F391),"",IF(ISBLANK(DATA!D391),DATA2!F391,"Flag override " &amp; TEXT(DATA!D391, "mm/dd/yyyy hh:mm")))</f>
        <v/>
      </c>
      <c r="G391" s="27" t="str">
        <f>IF(DATA2!G391 = 0, "", IF(ISBLANK(DATA2!G391),"",IF(ISBLANK(DATA!E391),DATA2!G391,"Flag override " &amp; TEXT(DATA!E391,"mm/dd/yyyy hh:mm"))))</f>
        <v/>
      </c>
      <c r="H391" s="25" t="str">
        <f>IF(DATA!$G391&gt;0,TEXT(DATA!G391,"mm/dd/yyyy hh:mm"),"")</f>
        <v/>
      </c>
      <c r="I391" s="21"/>
    </row>
    <row r="392" spans="2:9" ht="23.25" x14ac:dyDescent="0.25">
      <c r="B392" s="25" t="str">
        <f t="shared" si="8"/>
        <v/>
      </c>
      <c r="C392" s="25" t="str">
        <f>IF(NOT(ISBLANK(DATA2!C392)),DATA2!C392,"")</f>
        <v/>
      </c>
      <c r="D392" s="25" t="str">
        <f>IF(NOT(ISBLANK(DATA2!D392)),DATA2!D392,"")</f>
        <v/>
      </c>
      <c r="E392" s="26" t="str">
        <f>IF(ISBLANK(DATA2!E392),"",IF(ISBLANK(DATA!C392),DATA2!E392,"Flag override: " &amp; TEXT(DATA!C392, "mm/dd/yyyy hh:mm") ))</f>
        <v/>
      </c>
      <c r="F392" s="27" t="str">
        <f>IF(ISBLANK(DATA2!F392),"",IF(ISBLANK(DATA!D392),DATA2!F392,"Flag override " &amp; TEXT(DATA!D392, "mm/dd/yyyy hh:mm")))</f>
        <v/>
      </c>
      <c r="G392" s="27" t="str">
        <f>IF(DATA2!G392 = 0, "", IF(ISBLANK(DATA2!G392),"",IF(ISBLANK(DATA!E392),DATA2!G392,"Flag override " &amp; TEXT(DATA!E392,"mm/dd/yyyy hh:mm"))))</f>
        <v/>
      </c>
      <c r="H392" s="25" t="str">
        <f>IF(DATA!$G392&gt;0,TEXT(DATA!G392,"mm/dd/yyyy hh:mm"),"")</f>
        <v/>
      </c>
      <c r="I392" s="21"/>
    </row>
    <row r="393" spans="2:9" ht="23.25" x14ac:dyDescent="0.25">
      <c r="B393" s="25" t="str">
        <f t="shared" ref="B393:B456" si="9">IF(LEN(C393)&lt;1,"",IF(NOT(_xlfn.ISFORMULA(B392)),1,B392+1))</f>
        <v/>
      </c>
      <c r="C393" s="25" t="str">
        <f>IF(NOT(ISBLANK(DATA2!C393)),DATA2!C393,"")</f>
        <v/>
      </c>
      <c r="D393" s="25" t="str">
        <f>IF(NOT(ISBLANK(DATA2!D393)),DATA2!D393,"")</f>
        <v/>
      </c>
      <c r="E393" s="26" t="str">
        <f>IF(ISBLANK(DATA2!E393),"",IF(ISBLANK(DATA!C393),DATA2!E393,"Flag override: " &amp; TEXT(DATA!C393, "mm/dd/yyyy hh:mm") ))</f>
        <v/>
      </c>
      <c r="F393" s="27" t="str">
        <f>IF(ISBLANK(DATA2!F393),"",IF(ISBLANK(DATA!D393),DATA2!F393,"Flag override " &amp; TEXT(DATA!D393, "mm/dd/yyyy hh:mm")))</f>
        <v/>
      </c>
      <c r="G393" s="27" t="str">
        <f>IF(DATA2!G393 = 0, "", IF(ISBLANK(DATA2!G393),"",IF(ISBLANK(DATA!E393),DATA2!G393,"Flag override " &amp; TEXT(DATA!E393,"mm/dd/yyyy hh:mm"))))</f>
        <v/>
      </c>
      <c r="H393" s="25" t="str">
        <f>IF(DATA!$G393&gt;0,TEXT(DATA!G393,"mm/dd/yyyy hh:mm"),"")</f>
        <v/>
      </c>
      <c r="I393" s="21"/>
    </row>
    <row r="394" spans="2:9" ht="23.25" x14ac:dyDescent="0.25">
      <c r="B394" s="25" t="str">
        <f t="shared" si="9"/>
        <v/>
      </c>
      <c r="C394" s="25" t="str">
        <f>IF(NOT(ISBLANK(DATA2!C394)),DATA2!C394,"")</f>
        <v/>
      </c>
      <c r="D394" s="25" t="str">
        <f>IF(NOT(ISBLANK(DATA2!D394)),DATA2!D394,"")</f>
        <v/>
      </c>
      <c r="E394" s="26" t="str">
        <f>IF(ISBLANK(DATA2!E394),"",IF(ISBLANK(DATA!C394),DATA2!E394,"Flag override: " &amp; TEXT(DATA!C394, "mm/dd/yyyy hh:mm") ))</f>
        <v/>
      </c>
      <c r="F394" s="27" t="str">
        <f>IF(ISBLANK(DATA2!F394),"",IF(ISBLANK(DATA!D394),DATA2!F394,"Flag override " &amp; TEXT(DATA!D394, "mm/dd/yyyy hh:mm")))</f>
        <v/>
      </c>
      <c r="G394" s="27" t="str">
        <f>IF(DATA2!G394 = 0, "", IF(ISBLANK(DATA2!G394),"",IF(ISBLANK(DATA!E394),DATA2!G394,"Flag override " &amp; TEXT(DATA!E394,"mm/dd/yyyy hh:mm"))))</f>
        <v/>
      </c>
      <c r="H394" s="25" t="str">
        <f>IF(DATA!$G394&gt;0,TEXT(DATA!G394,"mm/dd/yyyy hh:mm"),"")</f>
        <v/>
      </c>
      <c r="I394" s="21"/>
    </row>
    <row r="395" spans="2:9" ht="23.25" x14ac:dyDescent="0.25">
      <c r="B395" s="25" t="str">
        <f t="shared" si="9"/>
        <v/>
      </c>
      <c r="C395" s="25" t="str">
        <f>IF(NOT(ISBLANK(DATA2!C395)),DATA2!C395,"")</f>
        <v/>
      </c>
      <c r="D395" s="25" t="str">
        <f>IF(NOT(ISBLANK(DATA2!D395)),DATA2!D395,"")</f>
        <v/>
      </c>
      <c r="E395" s="26" t="str">
        <f>IF(ISBLANK(DATA2!E395),"",IF(ISBLANK(DATA!C395),DATA2!E395,"Flag override: " &amp; TEXT(DATA!C395, "mm/dd/yyyy hh:mm") ))</f>
        <v/>
      </c>
      <c r="F395" s="27" t="str">
        <f>IF(ISBLANK(DATA2!F395),"",IF(ISBLANK(DATA!D395),DATA2!F395,"Flag override " &amp; TEXT(DATA!D395, "mm/dd/yyyy hh:mm")))</f>
        <v/>
      </c>
      <c r="G395" s="27" t="str">
        <f>IF(DATA2!G395 = 0, "", IF(ISBLANK(DATA2!G395),"",IF(ISBLANK(DATA!E395),DATA2!G395,"Flag override " &amp; TEXT(DATA!E395,"mm/dd/yyyy hh:mm"))))</f>
        <v/>
      </c>
      <c r="H395" s="25" t="str">
        <f>IF(DATA!$G395&gt;0,TEXT(DATA!G395,"mm/dd/yyyy hh:mm"),"")</f>
        <v/>
      </c>
      <c r="I395" s="21"/>
    </row>
    <row r="396" spans="2:9" ht="23.25" x14ac:dyDescent="0.25">
      <c r="B396" s="25" t="str">
        <f t="shared" si="9"/>
        <v/>
      </c>
      <c r="C396" s="25" t="str">
        <f>IF(NOT(ISBLANK(DATA2!C396)),DATA2!C396,"")</f>
        <v/>
      </c>
      <c r="D396" s="25" t="str">
        <f>IF(NOT(ISBLANK(DATA2!D396)),DATA2!D396,"")</f>
        <v/>
      </c>
      <c r="E396" s="26" t="str">
        <f>IF(ISBLANK(DATA2!E396),"",IF(ISBLANK(DATA!C396),DATA2!E396,"Flag override: " &amp; TEXT(DATA!C396, "mm/dd/yyyy hh:mm") ))</f>
        <v/>
      </c>
      <c r="F396" s="27" t="str">
        <f>IF(ISBLANK(DATA2!F396),"",IF(ISBLANK(DATA!D396),DATA2!F396,"Flag override " &amp; TEXT(DATA!D396, "mm/dd/yyyy hh:mm")))</f>
        <v/>
      </c>
      <c r="G396" s="27" t="str">
        <f>IF(DATA2!G396 = 0, "", IF(ISBLANK(DATA2!G396),"",IF(ISBLANK(DATA!E396),DATA2!G396,"Flag override " &amp; TEXT(DATA!E396,"mm/dd/yyyy hh:mm"))))</f>
        <v/>
      </c>
      <c r="H396" s="25" t="str">
        <f>IF(DATA!$G396&gt;0,TEXT(DATA!G396,"mm/dd/yyyy hh:mm"),"")</f>
        <v/>
      </c>
      <c r="I396" s="21"/>
    </row>
    <row r="397" spans="2:9" ht="23.25" x14ac:dyDescent="0.25">
      <c r="B397" s="25" t="str">
        <f t="shared" si="9"/>
        <v/>
      </c>
      <c r="C397" s="25" t="str">
        <f>IF(NOT(ISBLANK(DATA2!C397)),DATA2!C397,"")</f>
        <v/>
      </c>
      <c r="D397" s="25" t="str">
        <f>IF(NOT(ISBLANK(DATA2!D397)),DATA2!D397,"")</f>
        <v/>
      </c>
      <c r="E397" s="26" t="str">
        <f>IF(ISBLANK(DATA2!E397),"",IF(ISBLANK(DATA!C397),DATA2!E397,"Flag override: " &amp; TEXT(DATA!C397, "mm/dd/yyyy hh:mm") ))</f>
        <v/>
      </c>
      <c r="F397" s="27" t="str">
        <f>IF(ISBLANK(DATA2!F397),"",IF(ISBLANK(DATA!D397),DATA2!F397,"Flag override " &amp; TEXT(DATA!D397, "mm/dd/yyyy hh:mm")))</f>
        <v/>
      </c>
      <c r="G397" s="27" t="str">
        <f>IF(DATA2!G397 = 0, "", IF(ISBLANK(DATA2!G397),"",IF(ISBLANK(DATA!E397),DATA2!G397,"Flag override " &amp; TEXT(DATA!E397,"mm/dd/yyyy hh:mm"))))</f>
        <v/>
      </c>
      <c r="H397" s="25" t="str">
        <f>IF(DATA!$G397&gt;0,TEXT(DATA!G397,"mm/dd/yyyy hh:mm"),"")</f>
        <v/>
      </c>
      <c r="I397" s="21"/>
    </row>
    <row r="398" spans="2:9" ht="23.25" x14ac:dyDescent="0.25">
      <c r="B398" s="25" t="str">
        <f t="shared" si="9"/>
        <v/>
      </c>
      <c r="C398" s="25" t="str">
        <f>IF(NOT(ISBLANK(DATA2!C398)),DATA2!C398,"")</f>
        <v/>
      </c>
      <c r="D398" s="25" t="str">
        <f>IF(NOT(ISBLANK(DATA2!D398)),DATA2!D398,"")</f>
        <v/>
      </c>
      <c r="E398" s="26" t="str">
        <f>IF(ISBLANK(DATA2!E398),"",IF(ISBLANK(DATA!C398),DATA2!E398,"Flag override: " &amp; TEXT(DATA!C398, "mm/dd/yyyy hh:mm") ))</f>
        <v/>
      </c>
      <c r="F398" s="27" t="str">
        <f>IF(ISBLANK(DATA2!F398),"",IF(ISBLANK(DATA!D398),DATA2!F398,"Flag override " &amp; TEXT(DATA!D398, "mm/dd/yyyy hh:mm")))</f>
        <v/>
      </c>
      <c r="G398" s="27" t="str">
        <f>IF(DATA2!G398 = 0, "", IF(ISBLANK(DATA2!G398),"",IF(ISBLANK(DATA!E398),DATA2!G398,"Flag override " &amp; TEXT(DATA!E398,"mm/dd/yyyy hh:mm"))))</f>
        <v/>
      </c>
      <c r="H398" s="25" t="str">
        <f>IF(DATA!$G398&gt;0,TEXT(DATA!G398,"mm/dd/yyyy hh:mm"),"")</f>
        <v/>
      </c>
      <c r="I398" s="21"/>
    </row>
    <row r="399" spans="2:9" ht="23.25" x14ac:dyDescent="0.25">
      <c r="B399" s="25" t="str">
        <f t="shared" si="9"/>
        <v/>
      </c>
      <c r="C399" s="25" t="str">
        <f>IF(NOT(ISBLANK(DATA2!C399)),DATA2!C399,"")</f>
        <v/>
      </c>
      <c r="D399" s="25" t="str">
        <f>IF(NOT(ISBLANK(DATA2!D399)),DATA2!D399,"")</f>
        <v/>
      </c>
      <c r="E399" s="26" t="str">
        <f>IF(ISBLANK(DATA2!E399),"",IF(ISBLANK(DATA!C399),DATA2!E399,"Flag override: " &amp; TEXT(DATA!C399, "mm/dd/yyyy hh:mm") ))</f>
        <v/>
      </c>
      <c r="F399" s="27" t="str">
        <f>IF(ISBLANK(DATA2!F399),"",IF(ISBLANK(DATA!D399),DATA2!F399,"Flag override " &amp; TEXT(DATA!D399, "mm/dd/yyyy hh:mm")))</f>
        <v/>
      </c>
      <c r="G399" s="27" t="str">
        <f>IF(DATA2!G399 = 0, "", IF(ISBLANK(DATA2!G399),"",IF(ISBLANK(DATA!E399),DATA2!G399,"Flag override " &amp; TEXT(DATA!E399,"mm/dd/yyyy hh:mm"))))</f>
        <v/>
      </c>
      <c r="H399" s="25" t="str">
        <f>IF(DATA!$G399&gt;0,TEXT(DATA!G399,"mm/dd/yyyy hh:mm"),"")</f>
        <v/>
      </c>
      <c r="I399" s="21"/>
    </row>
    <row r="400" spans="2:9" ht="23.25" x14ac:dyDescent="0.25">
      <c r="B400" s="25" t="str">
        <f t="shared" si="9"/>
        <v/>
      </c>
      <c r="C400" s="25" t="str">
        <f>IF(NOT(ISBLANK(DATA2!C400)),DATA2!C400,"")</f>
        <v/>
      </c>
      <c r="D400" s="25" t="str">
        <f>IF(NOT(ISBLANK(DATA2!D400)),DATA2!D400,"")</f>
        <v/>
      </c>
      <c r="E400" s="26" t="str">
        <f>IF(ISBLANK(DATA2!E400),"",IF(ISBLANK(DATA!C400),DATA2!E400,"Flag override: " &amp; TEXT(DATA!C400, "mm/dd/yyyy hh:mm") ))</f>
        <v/>
      </c>
      <c r="F400" s="27" t="str">
        <f>IF(ISBLANK(DATA2!F400),"",IF(ISBLANK(DATA!D400),DATA2!F400,"Flag override " &amp; TEXT(DATA!D400, "mm/dd/yyyy hh:mm")))</f>
        <v/>
      </c>
      <c r="G400" s="27" t="str">
        <f>IF(DATA2!G400 = 0, "", IF(ISBLANK(DATA2!G400),"",IF(ISBLANK(DATA!E400),DATA2!G400,"Flag override " &amp; TEXT(DATA!E400,"mm/dd/yyyy hh:mm"))))</f>
        <v/>
      </c>
      <c r="H400" s="25" t="str">
        <f>IF(DATA!$G400&gt;0,TEXT(DATA!G400,"mm/dd/yyyy hh:mm"),"")</f>
        <v/>
      </c>
      <c r="I400" s="21"/>
    </row>
    <row r="401" spans="2:9" ht="23.25" x14ac:dyDescent="0.25">
      <c r="B401" s="25" t="str">
        <f t="shared" si="9"/>
        <v/>
      </c>
      <c r="C401" s="25" t="str">
        <f>IF(NOT(ISBLANK(DATA2!C401)),DATA2!C401,"")</f>
        <v/>
      </c>
      <c r="D401" s="25" t="str">
        <f>IF(NOT(ISBLANK(DATA2!D401)),DATA2!D401,"")</f>
        <v/>
      </c>
      <c r="E401" s="26" t="str">
        <f>IF(ISBLANK(DATA2!E401),"",IF(ISBLANK(DATA!C401),DATA2!E401,"Flag override: " &amp; TEXT(DATA!C401, "mm/dd/yyyy hh:mm") ))</f>
        <v/>
      </c>
      <c r="F401" s="27" t="str">
        <f>IF(ISBLANK(DATA2!F401),"",IF(ISBLANK(DATA!D401),DATA2!F401,"Flag override " &amp; TEXT(DATA!D401, "mm/dd/yyyy hh:mm")))</f>
        <v/>
      </c>
      <c r="G401" s="27" t="str">
        <f>IF(DATA2!G401 = 0, "", IF(ISBLANK(DATA2!G401),"",IF(ISBLANK(DATA!E401),DATA2!G401,"Flag override " &amp; TEXT(DATA!E401,"mm/dd/yyyy hh:mm"))))</f>
        <v/>
      </c>
      <c r="H401" s="25" t="str">
        <f>IF(DATA!$G401&gt;0,TEXT(DATA!G401,"mm/dd/yyyy hh:mm"),"")</f>
        <v/>
      </c>
      <c r="I401" s="21"/>
    </row>
    <row r="402" spans="2:9" ht="23.25" x14ac:dyDescent="0.25">
      <c r="B402" s="25" t="str">
        <f t="shared" si="9"/>
        <v/>
      </c>
      <c r="C402" s="25" t="str">
        <f>IF(NOT(ISBLANK(DATA2!C402)),DATA2!C402,"")</f>
        <v/>
      </c>
      <c r="D402" s="25" t="str">
        <f>IF(NOT(ISBLANK(DATA2!D402)),DATA2!D402,"")</f>
        <v/>
      </c>
      <c r="E402" s="26" t="str">
        <f>IF(ISBLANK(DATA2!E402),"",IF(ISBLANK(DATA!C402),DATA2!E402,"Flag override: " &amp; TEXT(DATA!C402, "mm/dd/yyyy hh:mm") ))</f>
        <v/>
      </c>
      <c r="F402" s="27" t="str">
        <f>IF(ISBLANK(DATA2!F402),"",IF(ISBLANK(DATA!D402),DATA2!F402,"Flag override " &amp; TEXT(DATA!D402, "mm/dd/yyyy hh:mm")))</f>
        <v/>
      </c>
      <c r="G402" s="27" t="str">
        <f>IF(DATA2!G402 = 0, "", IF(ISBLANK(DATA2!G402),"",IF(ISBLANK(DATA!E402),DATA2!G402,"Flag override " &amp; TEXT(DATA!E402,"mm/dd/yyyy hh:mm"))))</f>
        <v/>
      </c>
      <c r="H402" s="25" t="str">
        <f>IF(DATA!$G402&gt;0,TEXT(DATA!G402,"mm/dd/yyyy hh:mm"),"")</f>
        <v/>
      </c>
      <c r="I402" s="21"/>
    </row>
    <row r="403" spans="2:9" ht="23.25" x14ac:dyDescent="0.25">
      <c r="B403" s="25" t="str">
        <f t="shared" si="9"/>
        <v/>
      </c>
      <c r="C403" s="25" t="str">
        <f>IF(NOT(ISBLANK(DATA2!C403)),DATA2!C403,"")</f>
        <v/>
      </c>
      <c r="D403" s="25" t="str">
        <f>IF(NOT(ISBLANK(DATA2!D403)),DATA2!D403,"")</f>
        <v/>
      </c>
      <c r="E403" s="26" t="str">
        <f>IF(ISBLANK(DATA2!E403),"",IF(ISBLANK(DATA!C403),DATA2!E403,"Flag override: " &amp; TEXT(DATA!C403, "mm/dd/yyyy hh:mm") ))</f>
        <v/>
      </c>
      <c r="F403" s="27" t="str">
        <f>IF(ISBLANK(DATA2!F403),"",IF(ISBLANK(DATA!D403),DATA2!F403,"Flag override " &amp; TEXT(DATA!D403, "mm/dd/yyyy hh:mm")))</f>
        <v/>
      </c>
      <c r="G403" s="27" t="str">
        <f>IF(DATA2!G403 = 0, "", IF(ISBLANK(DATA2!G403),"",IF(ISBLANK(DATA!E403),DATA2!G403,"Flag override " &amp; TEXT(DATA!E403,"mm/dd/yyyy hh:mm"))))</f>
        <v/>
      </c>
      <c r="H403" s="25" t="str">
        <f>IF(DATA!$G403&gt;0,TEXT(DATA!G403,"mm/dd/yyyy hh:mm"),"")</f>
        <v/>
      </c>
      <c r="I403" s="21"/>
    </row>
    <row r="404" spans="2:9" ht="23.25" x14ac:dyDescent="0.25">
      <c r="B404" s="25" t="str">
        <f t="shared" si="9"/>
        <v/>
      </c>
      <c r="C404" s="25" t="str">
        <f>IF(NOT(ISBLANK(DATA2!C404)),DATA2!C404,"")</f>
        <v/>
      </c>
      <c r="D404" s="25" t="str">
        <f>IF(NOT(ISBLANK(DATA2!D404)),DATA2!D404,"")</f>
        <v/>
      </c>
      <c r="E404" s="26" t="str">
        <f>IF(ISBLANK(DATA2!E404),"",IF(ISBLANK(DATA!C404),DATA2!E404,"Flag override: " &amp; TEXT(DATA!C404, "mm/dd/yyyy hh:mm") ))</f>
        <v/>
      </c>
      <c r="F404" s="27" t="str">
        <f>IF(ISBLANK(DATA2!F404),"",IF(ISBLANK(DATA!D404),DATA2!F404,"Flag override " &amp; TEXT(DATA!D404, "mm/dd/yyyy hh:mm")))</f>
        <v/>
      </c>
      <c r="G404" s="27" t="str">
        <f>IF(DATA2!G404 = 0, "", IF(ISBLANK(DATA2!G404),"",IF(ISBLANK(DATA!E404),DATA2!G404,"Flag override " &amp; TEXT(DATA!E404,"mm/dd/yyyy hh:mm"))))</f>
        <v/>
      </c>
      <c r="H404" s="25" t="str">
        <f>IF(DATA!$G404&gt;0,TEXT(DATA!G404,"mm/dd/yyyy hh:mm"),"")</f>
        <v/>
      </c>
      <c r="I404" s="21"/>
    </row>
    <row r="405" spans="2:9" ht="23.25" x14ac:dyDescent="0.25">
      <c r="B405" s="25" t="str">
        <f t="shared" si="9"/>
        <v/>
      </c>
      <c r="C405" s="25" t="str">
        <f>IF(NOT(ISBLANK(DATA2!C405)),DATA2!C405,"")</f>
        <v/>
      </c>
      <c r="D405" s="25" t="str">
        <f>IF(NOT(ISBLANK(DATA2!D405)),DATA2!D405,"")</f>
        <v/>
      </c>
      <c r="E405" s="26" t="str">
        <f>IF(ISBLANK(DATA2!E405),"",IF(ISBLANK(DATA!C405),DATA2!E405,"Flag override: " &amp; TEXT(DATA!C405, "mm/dd/yyyy hh:mm") ))</f>
        <v/>
      </c>
      <c r="F405" s="27" t="str">
        <f>IF(ISBLANK(DATA2!F405),"",IF(ISBLANK(DATA!D405),DATA2!F405,"Flag override " &amp; TEXT(DATA!D405, "mm/dd/yyyy hh:mm")))</f>
        <v/>
      </c>
      <c r="G405" s="27" t="str">
        <f>IF(DATA2!G405 = 0, "", IF(ISBLANK(DATA2!G405),"",IF(ISBLANK(DATA!E405),DATA2!G405,"Flag override " &amp; TEXT(DATA!E405,"mm/dd/yyyy hh:mm"))))</f>
        <v/>
      </c>
      <c r="H405" s="25" t="str">
        <f>IF(DATA!$G405&gt;0,TEXT(DATA!G405,"mm/dd/yyyy hh:mm"),"")</f>
        <v/>
      </c>
      <c r="I405" s="21"/>
    </row>
    <row r="406" spans="2:9" ht="23.25" x14ac:dyDescent="0.25">
      <c r="B406" s="25" t="str">
        <f t="shared" si="9"/>
        <v/>
      </c>
      <c r="C406" s="25" t="str">
        <f>IF(NOT(ISBLANK(DATA2!C406)),DATA2!C406,"")</f>
        <v/>
      </c>
      <c r="D406" s="25" t="str">
        <f>IF(NOT(ISBLANK(DATA2!D406)),DATA2!D406,"")</f>
        <v/>
      </c>
      <c r="E406" s="26" t="str">
        <f>IF(ISBLANK(DATA2!E406),"",IF(ISBLANK(DATA!C406),DATA2!E406,"Flag override: " &amp; TEXT(DATA!C406, "mm/dd/yyyy hh:mm") ))</f>
        <v/>
      </c>
      <c r="F406" s="27" t="str">
        <f>IF(ISBLANK(DATA2!F406),"",IF(ISBLANK(DATA!D406),DATA2!F406,"Flag override " &amp; TEXT(DATA!D406, "mm/dd/yyyy hh:mm")))</f>
        <v/>
      </c>
      <c r="G406" s="27" t="str">
        <f>IF(DATA2!G406 = 0, "", IF(ISBLANK(DATA2!G406),"",IF(ISBLANK(DATA!E406),DATA2!G406,"Flag override " &amp; TEXT(DATA!E406,"mm/dd/yyyy hh:mm"))))</f>
        <v/>
      </c>
      <c r="H406" s="25" t="str">
        <f>IF(DATA!$G406&gt;0,TEXT(DATA!G406,"mm/dd/yyyy hh:mm"),"")</f>
        <v/>
      </c>
      <c r="I406" s="21"/>
    </row>
    <row r="407" spans="2:9" ht="23.25" x14ac:dyDescent="0.25">
      <c r="B407" s="25" t="str">
        <f t="shared" si="9"/>
        <v/>
      </c>
      <c r="C407" s="25" t="str">
        <f>IF(NOT(ISBLANK(DATA2!C407)),DATA2!C407,"")</f>
        <v/>
      </c>
      <c r="D407" s="25" t="str">
        <f>IF(NOT(ISBLANK(DATA2!D407)),DATA2!D407,"")</f>
        <v/>
      </c>
      <c r="E407" s="26" t="str">
        <f>IF(ISBLANK(DATA2!E407),"",IF(ISBLANK(DATA!C407),DATA2!E407,"Flag override: " &amp; TEXT(DATA!C407, "mm/dd/yyyy hh:mm") ))</f>
        <v/>
      </c>
      <c r="F407" s="27" t="str">
        <f>IF(ISBLANK(DATA2!F407),"",IF(ISBLANK(DATA!D407),DATA2!F407,"Flag override " &amp; TEXT(DATA!D407, "mm/dd/yyyy hh:mm")))</f>
        <v/>
      </c>
      <c r="G407" s="27" t="str">
        <f>IF(DATA2!G407 = 0, "", IF(ISBLANK(DATA2!G407),"",IF(ISBLANK(DATA!E407),DATA2!G407,"Flag override " &amp; TEXT(DATA!E407,"mm/dd/yyyy hh:mm"))))</f>
        <v/>
      </c>
      <c r="H407" s="25" t="str">
        <f>IF(DATA!$G407&gt;0,TEXT(DATA!G407,"mm/dd/yyyy hh:mm"),"")</f>
        <v/>
      </c>
      <c r="I407" s="21"/>
    </row>
    <row r="408" spans="2:9" ht="23.25" x14ac:dyDescent="0.25">
      <c r="B408" s="25" t="str">
        <f t="shared" si="9"/>
        <v/>
      </c>
      <c r="C408" s="25" t="str">
        <f>IF(NOT(ISBLANK(DATA2!C408)),DATA2!C408,"")</f>
        <v/>
      </c>
      <c r="D408" s="25" t="str">
        <f>IF(NOT(ISBLANK(DATA2!D408)),DATA2!D408,"")</f>
        <v/>
      </c>
      <c r="E408" s="26" t="str">
        <f>IF(ISBLANK(DATA2!E408),"",IF(ISBLANK(DATA!C408),DATA2!E408,"Flag override: " &amp; TEXT(DATA!C408, "mm/dd/yyyy hh:mm") ))</f>
        <v/>
      </c>
      <c r="F408" s="27" t="str">
        <f>IF(ISBLANK(DATA2!F408),"",IF(ISBLANK(DATA!D408),DATA2!F408,"Flag override " &amp; TEXT(DATA!D408, "mm/dd/yyyy hh:mm")))</f>
        <v/>
      </c>
      <c r="G408" s="27" t="str">
        <f>IF(DATA2!G408 = 0, "", IF(ISBLANK(DATA2!G408),"",IF(ISBLANK(DATA!E408),DATA2!G408,"Flag override " &amp; TEXT(DATA!E408,"mm/dd/yyyy hh:mm"))))</f>
        <v/>
      </c>
      <c r="H408" s="25" t="str">
        <f>IF(DATA!$G408&gt;0,TEXT(DATA!G408,"mm/dd/yyyy hh:mm"),"")</f>
        <v/>
      </c>
      <c r="I408" s="21"/>
    </row>
    <row r="409" spans="2:9" ht="23.25" x14ac:dyDescent="0.25">
      <c r="B409" s="25" t="str">
        <f t="shared" si="9"/>
        <v/>
      </c>
      <c r="C409" s="25" t="str">
        <f>IF(NOT(ISBLANK(DATA2!C409)),DATA2!C409,"")</f>
        <v/>
      </c>
      <c r="D409" s="25" t="str">
        <f>IF(NOT(ISBLANK(DATA2!D409)),DATA2!D409,"")</f>
        <v/>
      </c>
      <c r="E409" s="26" t="str">
        <f>IF(ISBLANK(DATA2!E409),"",IF(ISBLANK(DATA!C409),DATA2!E409,"Flag override: " &amp; TEXT(DATA!C409, "mm/dd/yyyy hh:mm") ))</f>
        <v/>
      </c>
      <c r="F409" s="27" t="str">
        <f>IF(ISBLANK(DATA2!F409),"",IF(ISBLANK(DATA!D409),DATA2!F409,"Flag override " &amp; TEXT(DATA!D409, "mm/dd/yyyy hh:mm")))</f>
        <v/>
      </c>
      <c r="G409" s="27" t="str">
        <f>IF(DATA2!G409 = 0, "", IF(ISBLANK(DATA2!G409),"",IF(ISBLANK(DATA!E409),DATA2!G409,"Flag override " &amp; TEXT(DATA!E409,"mm/dd/yyyy hh:mm"))))</f>
        <v/>
      </c>
      <c r="H409" s="25" t="str">
        <f>IF(DATA!$G409&gt;0,TEXT(DATA!G409,"mm/dd/yyyy hh:mm"),"")</f>
        <v/>
      </c>
      <c r="I409" s="21"/>
    </row>
    <row r="410" spans="2:9" ht="23.25" x14ac:dyDescent="0.25">
      <c r="B410" s="25" t="str">
        <f t="shared" si="9"/>
        <v/>
      </c>
      <c r="C410" s="25" t="str">
        <f>IF(NOT(ISBLANK(DATA2!C410)),DATA2!C410,"")</f>
        <v/>
      </c>
      <c r="D410" s="25" t="str">
        <f>IF(NOT(ISBLANK(DATA2!D410)),DATA2!D410,"")</f>
        <v/>
      </c>
      <c r="E410" s="26" t="str">
        <f>IF(ISBLANK(DATA2!E410),"",IF(ISBLANK(DATA!C410),DATA2!E410,"Flag override: " &amp; TEXT(DATA!C410, "mm/dd/yyyy hh:mm") ))</f>
        <v/>
      </c>
      <c r="F410" s="27" t="str">
        <f>IF(ISBLANK(DATA2!F410),"",IF(ISBLANK(DATA!D410),DATA2!F410,"Flag override " &amp; TEXT(DATA!D410, "mm/dd/yyyy hh:mm")))</f>
        <v/>
      </c>
      <c r="G410" s="27" t="str">
        <f>IF(DATA2!G410 = 0, "", IF(ISBLANK(DATA2!G410),"",IF(ISBLANK(DATA!E410),DATA2!G410,"Flag override " &amp; TEXT(DATA!E410,"mm/dd/yyyy hh:mm"))))</f>
        <v/>
      </c>
      <c r="H410" s="25" t="str">
        <f>IF(DATA!$G410&gt;0,TEXT(DATA!G410,"mm/dd/yyyy hh:mm"),"")</f>
        <v/>
      </c>
      <c r="I410" s="21"/>
    </row>
    <row r="411" spans="2:9" ht="23.25" x14ac:dyDescent="0.25">
      <c r="B411" s="25" t="str">
        <f t="shared" si="9"/>
        <v/>
      </c>
      <c r="C411" s="25" t="str">
        <f>IF(NOT(ISBLANK(DATA2!C411)),DATA2!C411,"")</f>
        <v/>
      </c>
      <c r="D411" s="25" t="str">
        <f>IF(NOT(ISBLANK(DATA2!D411)),DATA2!D411,"")</f>
        <v/>
      </c>
      <c r="E411" s="26" t="str">
        <f>IF(ISBLANK(DATA2!E411),"",IF(ISBLANK(DATA!C411),DATA2!E411,"Flag override: " &amp; TEXT(DATA!C411, "mm/dd/yyyy hh:mm") ))</f>
        <v/>
      </c>
      <c r="F411" s="27" t="str">
        <f>IF(ISBLANK(DATA2!F411),"",IF(ISBLANK(DATA!D411),DATA2!F411,"Flag override " &amp; TEXT(DATA!D411, "mm/dd/yyyy hh:mm")))</f>
        <v/>
      </c>
      <c r="G411" s="27" t="str">
        <f>IF(DATA2!G411 = 0, "", IF(ISBLANK(DATA2!G411),"",IF(ISBLANK(DATA!E411),DATA2!G411,"Flag override " &amp; TEXT(DATA!E411,"mm/dd/yyyy hh:mm"))))</f>
        <v/>
      </c>
      <c r="H411" s="25" t="str">
        <f>IF(DATA!$G411&gt;0,TEXT(DATA!G411,"mm/dd/yyyy hh:mm"),"")</f>
        <v/>
      </c>
      <c r="I411" s="21"/>
    </row>
    <row r="412" spans="2:9" ht="23.25" x14ac:dyDescent="0.25">
      <c r="B412" s="25" t="str">
        <f t="shared" si="9"/>
        <v/>
      </c>
      <c r="C412" s="25" t="str">
        <f>IF(NOT(ISBLANK(DATA2!C412)),DATA2!C412,"")</f>
        <v/>
      </c>
      <c r="D412" s="25" t="str">
        <f>IF(NOT(ISBLANK(DATA2!D412)),DATA2!D412,"")</f>
        <v/>
      </c>
      <c r="E412" s="26" t="str">
        <f>IF(ISBLANK(DATA2!E412),"",IF(ISBLANK(DATA!C412),DATA2!E412,"Flag override: " &amp; TEXT(DATA!C412, "mm/dd/yyyy hh:mm") ))</f>
        <v/>
      </c>
      <c r="F412" s="27" t="str">
        <f>IF(ISBLANK(DATA2!F412),"",IF(ISBLANK(DATA!D412),DATA2!F412,"Flag override " &amp; TEXT(DATA!D412, "mm/dd/yyyy hh:mm")))</f>
        <v/>
      </c>
      <c r="G412" s="27" t="str">
        <f>IF(DATA2!G412 = 0, "", IF(ISBLANK(DATA2!G412),"",IF(ISBLANK(DATA!E412),DATA2!G412,"Flag override " &amp; TEXT(DATA!E412,"mm/dd/yyyy hh:mm"))))</f>
        <v/>
      </c>
      <c r="H412" s="25" t="str">
        <f>IF(DATA!$G412&gt;0,TEXT(DATA!G412,"mm/dd/yyyy hh:mm"),"")</f>
        <v/>
      </c>
      <c r="I412" s="21"/>
    </row>
    <row r="413" spans="2:9" ht="23.25" x14ac:dyDescent="0.25">
      <c r="B413" s="25" t="str">
        <f t="shared" si="9"/>
        <v/>
      </c>
      <c r="C413" s="25" t="str">
        <f>IF(NOT(ISBLANK(DATA2!C413)),DATA2!C413,"")</f>
        <v/>
      </c>
      <c r="D413" s="25" t="str">
        <f>IF(NOT(ISBLANK(DATA2!D413)),DATA2!D413,"")</f>
        <v/>
      </c>
      <c r="E413" s="26" t="str">
        <f>IF(ISBLANK(DATA2!E413),"",IF(ISBLANK(DATA!C413),DATA2!E413,"Flag override: " &amp; TEXT(DATA!C413, "mm/dd/yyyy hh:mm") ))</f>
        <v/>
      </c>
      <c r="F413" s="27" t="str">
        <f>IF(ISBLANK(DATA2!F413),"",IF(ISBLANK(DATA!D413),DATA2!F413,"Flag override " &amp; TEXT(DATA!D413, "mm/dd/yyyy hh:mm")))</f>
        <v/>
      </c>
      <c r="G413" s="27" t="str">
        <f>IF(DATA2!G413 = 0, "", IF(ISBLANK(DATA2!G413),"",IF(ISBLANK(DATA!E413),DATA2!G413,"Flag override " &amp; TEXT(DATA!E413,"mm/dd/yyyy hh:mm"))))</f>
        <v/>
      </c>
      <c r="H413" s="25" t="str">
        <f>IF(DATA!$G413&gt;0,TEXT(DATA!G413,"mm/dd/yyyy hh:mm"),"")</f>
        <v/>
      </c>
      <c r="I413" s="21"/>
    </row>
    <row r="414" spans="2:9" ht="23.25" x14ac:dyDescent="0.25">
      <c r="B414" s="25" t="str">
        <f t="shared" si="9"/>
        <v/>
      </c>
      <c r="C414" s="25" t="str">
        <f>IF(NOT(ISBLANK(DATA2!C414)),DATA2!C414,"")</f>
        <v/>
      </c>
      <c r="D414" s="25" t="str">
        <f>IF(NOT(ISBLANK(DATA2!D414)),DATA2!D414,"")</f>
        <v/>
      </c>
      <c r="E414" s="26" t="str">
        <f>IF(ISBLANK(DATA2!E414),"",IF(ISBLANK(DATA!C414),DATA2!E414,"Flag override: " &amp; TEXT(DATA!C414, "mm/dd/yyyy hh:mm") ))</f>
        <v/>
      </c>
      <c r="F414" s="27" t="str">
        <f>IF(ISBLANK(DATA2!F414),"",IF(ISBLANK(DATA!D414),DATA2!F414,"Flag override " &amp; TEXT(DATA!D414, "mm/dd/yyyy hh:mm")))</f>
        <v/>
      </c>
      <c r="G414" s="27" t="str">
        <f>IF(DATA2!G414 = 0, "", IF(ISBLANK(DATA2!G414),"",IF(ISBLANK(DATA!E414),DATA2!G414,"Flag override " &amp; TEXT(DATA!E414,"mm/dd/yyyy hh:mm"))))</f>
        <v/>
      </c>
      <c r="H414" s="25" t="str">
        <f>IF(DATA!$G414&gt;0,TEXT(DATA!G414,"mm/dd/yyyy hh:mm"),"")</f>
        <v/>
      </c>
      <c r="I414" s="21"/>
    </row>
    <row r="415" spans="2:9" ht="23.25" x14ac:dyDescent="0.25">
      <c r="B415" s="25" t="str">
        <f t="shared" si="9"/>
        <v/>
      </c>
      <c r="C415" s="25" t="str">
        <f>IF(NOT(ISBLANK(DATA2!C415)),DATA2!C415,"")</f>
        <v/>
      </c>
      <c r="D415" s="25" t="str">
        <f>IF(NOT(ISBLANK(DATA2!D415)),DATA2!D415,"")</f>
        <v/>
      </c>
      <c r="E415" s="26" t="str">
        <f>IF(ISBLANK(DATA2!E415),"",IF(ISBLANK(DATA!C415),DATA2!E415,"Flag override: " &amp; TEXT(DATA!C415, "mm/dd/yyyy hh:mm") ))</f>
        <v/>
      </c>
      <c r="F415" s="27" t="str">
        <f>IF(ISBLANK(DATA2!F415),"",IF(ISBLANK(DATA!D415),DATA2!F415,"Flag override " &amp; TEXT(DATA!D415, "mm/dd/yyyy hh:mm")))</f>
        <v/>
      </c>
      <c r="G415" s="27" t="str">
        <f>IF(DATA2!G415 = 0, "", IF(ISBLANK(DATA2!G415),"",IF(ISBLANK(DATA!E415),DATA2!G415,"Flag override " &amp; TEXT(DATA!E415,"mm/dd/yyyy hh:mm"))))</f>
        <v/>
      </c>
      <c r="H415" s="25" t="str">
        <f>IF(DATA!$G415&gt;0,TEXT(DATA!G415,"mm/dd/yyyy hh:mm"),"")</f>
        <v/>
      </c>
      <c r="I415" s="21"/>
    </row>
    <row r="416" spans="2:9" ht="23.25" x14ac:dyDescent="0.25">
      <c r="B416" s="25" t="str">
        <f t="shared" si="9"/>
        <v/>
      </c>
      <c r="C416" s="25" t="str">
        <f>IF(NOT(ISBLANK(DATA2!C416)),DATA2!C416,"")</f>
        <v/>
      </c>
      <c r="D416" s="25" t="str">
        <f>IF(NOT(ISBLANK(DATA2!D416)),DATA2!D416,"")</f>
        <v/>
      </c>
      <c r="E416" s="26" t="str">
        <f>IF(ISBLANK(DATA2!E416),"",IF(ISBLANK(DATA!C416),DATA2!E416,"Flag override: " &amp; TEXT(DATA!C416, "mm/dd/yyyy hh:mm") ))</f>
        <v/>
      </c>
      <c r="F416" s="27" t="str">
        <f>IF(ISBLANK(DATA2!F416),"",IF(ISBLANK(DATA!D416),DATA2!F416,"Flag override " &amp; TEXT(DATA!D416, "mm/dd/yyyy hh:mm")))</f>
        <v/>
      </c>
      <c r="G416" s="27" t="str">
        <f>IF(DATA2!G416 = 0, "", IF(ISBLANK(DATA2!G416),"",IF(ISBLANK(DATA!E416),DATA2!G416,"Flag override " &amp; TEXT(DATA!E416,"mm/dd/yyyy hh:mm"))))</f>
        <v/>
      </c>
      <c r="H416" s="25" t="str">
        <f>IF(DATA!$G416&gt;0,TEXT(DATA!G416,"mm/dd/yyyy hh:mm"),"")</f>
        <v/>
      </c>
      <c r="I416" s="21"/>
    </row>
    <row r="417" spans="2:9" ht="23.25" x14ac:dyDescent="0.25">
      <c r="B417" s="25" t="str">
        <f t="shared" si="9"/>
        <v/>
      </c>
      <c r="C417" s="25" t="str">
        <f>IF(NOT(ISBLANK(DATA2!C417)),DATA2!C417,"")</f>
        <v/>
      </c>
      <c r="D417" s="25" t="str">
        <f>IF(NOT(ISBLANK(DATA2!D417)),DATA2!D417,"")</f>
        <v/>
      </c>
      <c r="E417" s="26" t="str">
        <f>IF(ISBLANK(DATA2!E417),"",IF(ISBLANK(DATA!C417),DATA2!E417,"Flag override: " &amp; TEXT(DATA!C417, "mm/dd/yyyy hh:mm") ))</f>
        <v/>
      </c>
      <c r="F417" s="27" t="str">
        <f>IF(ISBLANK(DATA2!F417),"",IF(ISBLANK(DATA!D417),DATA2!F417,"Flag override " &amp; TEXT(DATA!D417, "mm/dd/yyyy hh:mm")))</f>
        <v/>
      </c>
      <c r="G417" s="27" t="str">
        <f>IF(DATA2!G417 = 0, "", IF(ISBLANK(DATA2!G417),"",IF(ISBLANK(DATA!E417),DATA2!G417,"Flag override " &amp; TEXT(DATA!E417,"mm/dd/yyyy hh:mm"))))</f>
        <v/>
      </c>
      <c r="H417" s="25" t="str">
        <f>IF(DATA!$G417&gt;0,TEXT(DATA!G417,"mm/dd/yyyy hh:mm"),"")</f>
        <v/>
      </c>
      <c r="I417" s="21"/>
    </row>
    <row r="418" spans="2:9" ht="23.25" x14ac:dyDescent="0.25">
      <c r="B418" s="25" t="str">
        <f t="shared" si="9"/>
        <v/>
      </c>
      <c r="C418" s="25" t="str">
        <f>IF(NOT(ISBLANK(DATA2!C418)),DATA2!C418,"")</f>
        <v/>
      </c>
      <c r="D418" s="25" t="str">
        <f>IF(NOT(ISBLANK(DATA2!D418)),DATA2!D418,"")</f>
        <v/>
      </c>
      <c r="E418" s="26" t="str">
        <f>IF(ISBLANK(DATA2!E418),"",IF(ISBLANK(DATA!C418),DATA2!E418,"Flag override: " &amp; TEXT(DATA!C418, "mm/dd/yyyy hh:mm") ))</f>
        <v/>
      </c>
      <c r="F418" s="27" t="str">
        <f>IF(ISBLANK(DATA2!F418),"",IF(ISBLANK(DATA!D418),DATA2!F418,"Flag override " &amp; TEXT(DATA!D418, "mm/dd/yyyy hh:mm")))</f>
        <v/>
      </c>
      <c r="G418" s="27" t="str">
        <f>IF(DATA2!G418 = 0, "", IF(ISBLANK(DATA2!G418),"",IF(ISBLANK(DATA!E418),DATA2!G418,"Flag override " &amp; TEXT(DATA!E418,"mm/dd/yyyy hh:mm"))))</f>
        <v/>
      </c>
      <c r="H418" s="25" t="str">
        <f>IF(DATA!$G418&gt;0,TEXT(DATA!G418,"mm/dd/yyyy hh:mm"),"")</f>
        <v/>
      </c>
      <c r="I418" s="21"/>
    </row>
    <row r="419" spans="2:9" ht="23.25" x14ac:dyDescent="0.25">
      <c r="B419" s="25" t="str">
        <f t="shared" si="9"/>
        <v/>
      </c>
      <c r="C419" s="25" t="str">
        <f>IF(NOT(ISBLANK(DATA2!C419)),DATA2!C419,"")</f>
        <v/>
      </c>
      <c r="D419" s="25" t="str">
        <f>IF(NOT(ISBLANK(DATA2!D419)),DATA2!D419,"")</f>
        <v/>
      </c>
      <c r="E419" s="26" t="str">
        <f>IF(ISBLANK(DATA2!E419),"",IF(ISBLANK(DATA!C419),DATA2!E419,"Flag override: " &amp; TEXT(DATA!C419, "mm/dd/yyyy hh:mm") ))</f>
        <v/>
      </c>
      <c r="F419" s="27" t="str">
        <f>IF(ISBLANK(DATA2!F419),"",IF(ISBLANK(DATA!D419),DATA2!F419,"Flag override " &amp; TEXT(DATA!D419, "mm/dd/yyyy hh:mm")))</f>
        <v/>
      </c>
      <c r="G419" s="27" t="str">
        <f>IF(DATA2!G419 = 0, "", IF(ISBLANK(DATA2!G419),"",IF(ISBLANK(DATA!E419),DATA2!G419,"Flag override " &amp; TEXT(DATA!E419,"mm/dd/yyyy hh:mm"))))</f>
        <v/>
      </c>
      <c r="H419" s="25" t="str">
        <f>IF(DATA!$G419&gt;0,TEXT(DATA!G419,"mm/dd/yyyy hh:mm"),"")</f>
        <v/>
      </c>
      <c r="I419" s="21"/>
    </row>
    <row r="420" spans="2:9" ht="23.25" x14ac:dyDescent="0.25">
      <c r="B420" s="25" t="str">
        <f t="shared" si="9"/>
        <v/>
      </c>
      <c r="C420" s="25" t="str">
        <f>IF(NOT(ISBLANK(DATA2!C420)),DATA2!C420,"")</f>
        <v/>
      </c>
      <c r="D420" s="25" t="str">
        <f>IF(NOT(ISBLANK(DATA2!D420)),DATA2!D420,"")</f>
        <v/>
      </c>
      <c r="E420" s="26" t="str">
        <f>IF(ISBLANK(DATA2!E420),"",IF(ISBLANK(DATA!C420),DATA2!E420,"Flag override: " &amp; TEXT(DATA!C420, "mm/dd/yyyy hh:mm") ))</f>
        <v/>
      </c>
      <c r="F420" s="27" t="str">
        <f>IF(ISBLANK(DATA2!F420),"",IF(ISBLANK(DATA!D420),DATA2!F420,"Flag override " &amp; TEXT(DATA!D420, "mm/dd/yyyy hh:mm")))</f>
        <v/>
      </c>
      <c r="G420" s="27" t="str">
        <f>IF(DATA2!G420 = 0, "", IF(ISBLANK(DATA2!G420),"",IF(ISBLANK(DATA!E420),DATA2!G420,"Flag override " &amp; TEXT(DATA!E420,"mm/dd/yyyy hh:mm"))))</f>
        <v/>
      </c>
      <c r="H420" s="25" t="str">
        <f>IF(DATA!$G420&gt;0,TEXT(DATA!G420,"mm/dd/yyyy hh:mm"),"")</f>
        <v/>
      </c>
      <c r="I420" s="21"/>
    </row>
    <row r="421" spans="2:9" ht="23.25" x14ac:dyDescent="0.25">
      <c r="B421" s="25" t="str">
        <f t="shared" si="9"/>
        <v/>
      </c>
      <c r="C421" s="25" t="str">
        <f>IF(NOT(ISBLANK(DATA2!C421)),DATA2!C421,"")</f>
        <v/>
      </c>
      <c r="D421" s="25" t="str">
        <f>IF(NOT(ISBLANK(DATA2!D421)),DATA2!D421,"")</f>
        <v/>
      </c>
      <c r="E421" s="26" t="str">
        <f>IF(ISBLANK(DATA2!E421),"",IF(ISBLANK(DATA!C421),DATA2!E421,"Flag override: " &amp; TEXT(DATA!C421, "mm/dd/yyyy hh:mm") ))</f>
        <v/>
      </c>
      <c r="F421" s="27" t="str">
        <f>IF(ISBLANK(DATA2!F421),"",IF(ISBLANK(DATA!D421),DATA2!F421,"Flag override " &amp; TEXT(DATA!D421, "mm/dd/yyyy hh:mm")))</f>
        <v/>
      </c>
      <c r="G421" s="27" t="str">
        <f>IF(DATA2!G421 = 0, "", IF(ISBLANK(DATA2!G421),"",IF(ISBLANK(DATA!E421),DATA2!G421,"Flag override " &amp; TEXT(DATA!E421,"mm/dd/yyyy hh:mm"))))</f>
        <v/>
      </c>
      <c r="H421" s="25" t="str">
        <f>IF(DATA!$G421&gt;0,TEXT(DATA!G421,"mm/dd/yyyy hh:mm"),"")</f>
        <v/>
      </c>
      <c r="I421" s="21"/>
    </row>
    <row r="422" spans="2:9" ht="23.25" x14ac:dyDescent="0.25">
      <c r="B422" s="25" t="str">
        <f t="shared" si="9"/>
        <v/>
      </c>
      <c r="C422" s="25" t="str">
        <f>IF(NOT(ISBLANK(DATA2!C422)),DATA2!C422,"")</f>
        <v/>
      </c>
      <c r="D422" s="25" t="str">
        <f>IF(NOT(ISBLANK(DATA2!D422)),DATA2!D422,"")</f>
        <v/>
      </c>
      <c r="E422" s="26" t="str">
        <f>IF(ISBLANK(DATA2!E422),"",IF(ISBLANK(DATA!C422),DATA2!E422,"Flag override: " &amp; TEXT(DATA!C422, "mm/dd/yyyy hh:mm") ))</f>
        <v/>
      </c>
      <c r="F422" s="27" t="str">
        <f>IF(ISBLANK(DATA2!F422),"",IF(ISBLANK(DATA!D422),DATA2!F422,"Flag override " &amp; TEXT(DATA!D422, "mm/dd/yyyy hh:mm")))</f>
        <v/>
      </c>
      <c r="G422" s="27" t="str">
        <f>IF(DATA2!G422 = 0, "", IF(ISBLANK(DATA2!G422),"",IF(ISBLANK(DATA!E422),DATA2!G422,"Flag override " &amp; TEXT(DATA!E422,"mm/dd/yyyy hh:mm"))))</f>
        <v/>
      </c>
      <c r="H422" s="25" t="str">
        <f>IF(DATA!$G422&gt;0,TEXT(DATA!G422,"mm/dd/yyyy hh:mm"),"")</f>
        <v/>
      </c>
      <c r="I422" s="21"/>
    </row>
    <row r="423" spans="2:9" ht="23.25" x14ac:dyDescent="0.25">
      <c r="B423" s="25" t="str">
        <f t="shared" si="9"/>
        <v/>
      </c>
      <c r="C423" s="25" t="str">
        <f>IF(NOT(ISBLANK(DATA2!C423)),DATA2!C423,"")</f>
        <v/>
      </c>
      <c r="D423" s="25" t="str">
        <f>IF(NOT(ISBLANK(DATA2!D423)),DATA2!D423,"")</f>
        <v/>
      </c>
      <c r="E423" s="26" t="str">
        <f>IF(ISBLANK(DATA2!E423),"",IF(ISBLANK(DATA!C423),DATA2!E423,"Flag override: " &amp; TEXT(DATA!C423, "mm/dd/yyyy hh:mm") ))</f>
        <v/>
      </c>
      <c r="F423" s="27" t="str">
        <f>IF(ISBLANK(DATA2!F423),"",IF(ISBLANK(DATA!D423),DATA2!F423,"Flag override " &amp; TEXT(DATA!D423, "mm/dd/yyyy hh:mm")))</f>
        <v/>
      </c>
      <c r="G423" s="27" t="str">
        <f>IF(DATA2!G423 = 0, "", IF(ISBLANK(DATA2!G423),"",IF(ISBLANK(DATA!E423),DATA2!G423,"Flag override " &amp; TEXT(DATA!E423,"mm/dd/yyyy hh:mm"))))</f>
        <v/>
      </c>
      <c r="H423" s="25" t="str">
        <f>IF(DATA!$G423&gt;0,TEXT(DATA!G423,"mm/dd/yyyy hh:mm"),"")</f>
        <v/>
      </c>
      <c r="I423" s="21"/>
    </row>
    <row r="424" spans="2:9" ht="23.25" x14ac:dyDescent="0.25">
      <c r="B424" s="25" t="str">
        <f t="shared" si="9"/>
        <v/>
      </c>
      <c r="C424" s="25" t="str">
        <f>IF(NOT(ISBLANK(DATA2!C424)),DATA2!C424,"")</f>
        <v/>
      </c>
      <c r="D424" s="25" t="str">
        <f>IF(NOT(ISBLANK(DATA2!D424)),DATA2!D424,"")</f>
        <v/>
      </c>
      <c r="E424" s="26" t="str">
        <f>IF(ISBLANK(DATA2!E424),"",IF(ISBLANK(DATA!C424),DATA2!E424,"Flag override: " &amp; TEXT(DATA!C424, "mm/dd/yyyy hh:mm") ))</f>
        <v/>
      </c>
      <c r="F424" s="27" t="str">
        <f>IF(ISBLANK(DATA2!F424),"",IF(ISBLANK(DATA!D424),DATA2!F424,"Flag override " &amp; TEXT(DATA!D424, "mm/dd/yyyy hh:mm")))</f>
        <v/>
      </c>
      <c r="G424" s="27" t="str">
        <f>IF(DATA2!G424 = 0, "", IF(ISBLANK(DATA2!G424),"",IF(ISBLANK(DATA!E424),DATA2!G424,"Flag override " &amp; TEXT(DATA!E424,"mm/dd/yyyy hh:mm"))))</f>
        <v/>
      </c>
      <c r="H424" s="25" t="str">
        <f>IF(DATA!$G424&gt;0,TEXT(DATA!G424,"mm/dd/yyyy hh:mm"),"")</f>
        <v/>
      </c>
      <c r="I424" s="21"/>
    </row>
    <row r="425" spans="2:9" ht="23.25" x14ac:dyDescent="0.25">
      <c r="B425" s="25" t="str">
        <f t="shared" si="9"/>
        <v/>
      </c>
      <c r="C425" s="25" t="str">
        <f>IF(NOT(ISBLANK(DATA2!C425)),DATA2!C425,"")</f>
        <v/>
      </c>
      <c r="D425" s="25" t="str">
        <f>IF(NOT(ISBLANK(DATA2!D425)),DATA2!D425,"")</f>
        <v/>
      </c>
      <c r="E425" s="26" t="str">
        <f>IF(ISBLANK(DATA2!E425),"",IF(ISBLANK(DATA!C425),DATA2!E425,"Flag override: " &amp; TEXT(DATA!C425, "mm/dd/yyyy hh:mm") ))</f>
        <v/>
      </c>
      <c r="F425" s="27" t="str">
        <f>IF(ISBLANK(DATA2!F425),"",IF(ISBLANK(DATA!D425),DATA2!F425,"Flag override " &amp; TEXT(DATA!D425, "mm/dd/yyyy hh:mm")))</f>
        <v/>
      </c>
      <c r="G425" s="27" t="str">
        <f>IF(DATA2!G425 = 0, "", IF(ISBLANK(DATA2!G425),"",IF(ISBLANK(DATA!E425),DATA2!G425,"Flag override " &amp; TEXT(DATA!E425,"mm/dd/yyyy hh:mm"))))</f>
        <v/>
      </c>
      <c r="H425" s="25" t="str">
        <f>IF(DATA!$G425&gt;0,TEXT(DATA!G425,"mm/dd/yyyy hh:mm"),"")</f>
        <v/>
      </c>
      <c r="I425" s="21"/>
    </row>
    <row r="426" spans="2:9" ht="23.25" x14ac:dyDescent="0.25">
      <c r="B426" s="25" t="str">
        <f t="shared" si="9"/>
        <v/>
      </c>
      <c r="C426" s="25" t="str">
        <f>IF(NOT(ISBLANK(DATA2!C426)),DATA2!C426,"")</f>
        <v/>
      </c>
      <c r="D426" s="25" t="str">
        <f>IF(NOT(ISBLANK(DATA2!D426)),DATA2!D426,"")</f>
        <v/>
      </c>
      <c r="E426" s="26" t="str">
        <f>IF(ISBLANK(DATA2!E426),"",IF(ISBLANK(DATA!C426),DATA2!E426,"Flag override: " &amp; TEXT(DATA!C426, "mm/dd/yyyy hh:mm") ))</f>
        <v/>
      </c>
      <c r="F426" s="27" t="str">
        <f>IF(ISBLANK(DATA2!F426),"",IF(ISBLANK(DATA!D426),DATA2!F426,"Flag override " &amp; TEXT(DATA!D426, "mm/dd/yyyy hh:mm")))</f>
        <v/>
      </c>
      <c r="G426" s="27" t="str">
        <f>IF(DATA2!G426 = 0, "", IF(ISBLANK(DATA2!G426),"",IF(ISBLANK(DATA!E426),DATA2!G426,"Flag override " &amp; TEXT(DATA!E426,"mm/dd/yyyy hh:mm"))))</f>
        <v/>
      </c>
      <c r="H426" s="25" t="str">
        <f>IF(DATA!$G426&gt;0,TEXT(DATA!G426,"mm/dd/yyyy hh:mm"),"")</f>
        <v/>
      </c>
      <c r="I426" s="21"/>
    </row>
    <row r="427" spans="2:9" ht="23.25" x14ac:dyDescent="0.25">
      <c r="B427" s="25" t="str">
        <f t="shared" si="9"/>
        <v/>
      </c>
      <c r="C427" s="25" t="str">
        <f>IF(NOT(ISBLANK(DATA2!C427)),DATA2!C427,"")</f>
        <v/>
      </c>
      <c r="D427" s="25" t="str">
        <f>IF(NOT(ISBLANK(DATA2!D427)),DATA2!D427,"")</f>
        <v/>
      </c>
      <c r="E427" s="26" t="str">
        <f>IF(ISBLANK(DATA2!E427),"",IF(ISBLANK(DATA!C427),DATA2!E427,"Flag override: " &amp; TEXT(DATA!C427, "mm/dd/yyyy hh:mm") ))</f>
        <v/>
      </c>
      <c r="F427" s="27" t="str">
        <f>IF(ISBLANK(DATA2!F427),"",IF(ISBLANK(DATA!D427),DATA2!F427,"Flag override " &amp; TEXT(DATA!D427, "mm/dd/yyyy hh:mm")))</f>
        <v/>
      </c>
      <c r="G427" s="27" t="str">
        <f>IF(DATA2!G427 = 0, "", IF(ISBLANK(DATA2!G427),"",IF(ISBLANK(DATA!E427),DATA2!G427,"Flag override " &amp; TEXT(DATA!E427,"mm/dd/yyyy hh:mm"))))</f>
        <v/>
      </c>
      <c r="H427" s="25" t="str">
        <f>IF(DATA!$G427&gt;0,TEXT(DATA!G427,"mm/dd/yyyy hh:mm"),"")</f>
        <v/>
      </c>
      <c r="I427" s="21"/>
    </row>
    <row r="428" spans="2:9" ht="23.25" x14ac:dyDescent="0.25">
      <c r="B428" s="25" t="str">
        <f t="shared" si="9"/>
        <v/>
      </c>
      <c r="C428" s="25" t="str">
        <f>IF(NOT(ISBLANK(DATA2!C428)),DATA2!C428,"")</f>
        <v/>
      </c>
      <c r="D428" s="25" t="str">
        <f>IF(NOT(ISBLANK(DATA2!D428)),DATA2!D428,"")</f>
        <v/>
      </c>
      <c r="E428" s="26" t="str">
        <f>IF(ISBLANK(DATA2!E428),"",IF(ISBLANK(DATA!C428),DATA2!E428,"Flag override: " &amp; TEXT(DATA!C428, "mm/dd/yyyy hh:mm") ))</f>
        <v/>
      </c>
      <c r="F428" s="27" t="str">
        <f>IF(ISBLANK(DATA2!F428),"",IF(ISBLANK(DATA!D428),DATA2!F428,"Flag override " &amp; TEXT(DATA!D428, "mm/dd/yyyy hh:mm")))</f>
        <v/>
      </c>
      <c r="G428" s="27" t="str">
        <f>IF(DATA2!G428 = 0, "", IF(ISBLANK(DATA2!G428),"",IF(ISBLANK(DATA!E428),DATA2!G428,"Flag override " &amp; TEXT(DATA!E428,"mm/dd/yyyy hh:mm"))))</f>
        <v/>
      </c>
      <c r="H428" s="25" t="str">
        <f>IF(DATA!$G428&gt;0,TEXT(DATA!G428,"mm/dd/yyyy hh:mm"),"")</f>
        <v/>
      </c>
      <c r="I428" s="21"/>
    </row>
    <row r="429" spans="2:9" ht="23.25" x14ac:dyDescent="0.25">
      <c r="B429" s="25" t="str">
        <f t="shared" si="9"/>
        <v/>
      </c>
      <c r="C429" s="25" t="str">
        <f>IF(NOT(ISBLANK(DATA2!C429)),DATA2!C429,"")</f>
        <v/>
      </c>
      <c r="D429" s="25" t="str">
        <f>IF(NOT(ISBLANK(DATA2!D429)),DATA2!D429,"")</f>
        <v/>
      </c>
      <c r="E429" s="26" t="str">
        <f>IF(ISBLANK(DATA2!E429),"",IF(ISBLANK(DATA!C429),DATA2!E429,"Flag override: " &amp; TEXT(DATA!C429, "mm/dd/yyyy hh:mm") ))</f>
        <v/>
      </c>
      <c r="F429" s="27" t="str">
        <f>IF(ISBLANK(DATA2!F429),"",IF(ISBLANK(DATA!D429),DATA2!F429,"Flag override " &amp; TEXT(DATA!D429, "mm/dd/yyyy hh:mm")))</f>
        <v/>
      </c>
      <c r="G429" s="27" t="str">
        <f>IF(DATA2!G429 = 0, "", IF(ISBLANK(DATA2!G429),"",IF(ISBLANK(DATA!E429),DATA2!G429,"Flag override " &amp; TEXT(DATA!E429,"mm/dd/yyyy hh:mm"))))</f>
        <v/>
      </c>
      <c r="H429" s="25" t="str">
        <f>IF(DATA!$G429&gt;0,TEXT(DATA!G429,"mm/dd/yyyy hh:mm"),"")</f>
        <v/>
      </c>
      <c r="I429" s="21"/>
    </row>
    <row r="430" spans="2:9" ht="23.25" x14ac:dyDescent="0.25">
      <c r="B430" s="25" t="str">
        <f t="shared" si="9"/>
        <v/>
      </c>
      <c r="C430" s="25" t="str">
        <f>IF(NOT(ISBLANK(DATA2!C430)),DATA2!C430,"")</f>
        <v/>
      </c>
      <c r="D430" s="25" t="str">
        <f>IF(NOT(ISBLANK(DATA2!D430)),DATA2!D430,"")</f>
        <v/>
      </c>
      <c r="E430" s="26" t="str">
        <f>IF(ISBLANK(DATA2!E430),"",IF(ISBLANK(DATA!C430),DATA2!E430,"Flag override: " &amp; TEXT(DATA!C430, "mm/dd/yyyy hh:mm") ))</f>
        <v/>
      </c>
      <c r="F430" s="27" t="str">
        <f>IF(ISBLANK(DATA2!F430),"",IF(ISBLANK(DATA!D430),DATA2!F430,"Flag override " &amp; TEXT(DATA!D430, "mm/dd/yyyy hh:mm")))</f>
        <v/>
      </c>
      <c r="G430" s="27" t="str">
        <f>IF(DATA2!G430 = 0, "", IF(ISBLANK(DATA2!G430),"",IF(ISBLANK(DATA!E430),DATA2!G430,"Flag override " &amp; TEXT(DATA!E430,"mm/dd/yyyy hh:mm"))))</f>
        <v/>
      </c>
      <c r="H430" s="25" t="str">
        <f>IF(DATA!$G430&gt;0,TEXT(DATA!G430,"mm/dd/yyyy hh:mm"),"")</f>
        <v/>
      </c>
      <c r="I430" s="21"/>
    </row>
    <row r="431" spans="2:9" ht="23.25" x14ac:dyDescent="0.25">
      <c r="B431" s="25" t="str">
        <f t="shared" si="9"/>
        <v/>
      </c>
      <c r="C431" s="25" t="str">
        <f>IF(NOT(ISBLANK(DATA2!C431)),DATA2!C431,"")</f>
        <v/>
      </c>
      <c r="D431" s="25" t="str">
        <f>IF(NOT(ISBLANK(DATA2!D431)),DATA2!D431,"")</f>
        <v/>
      </c>
      <c r="E431" s="26" t="str">
        <f>IF(ISBLANK(DATA2!E431),"",IF(ISBLANK(DATA!C431),DATA2!E431,"Flag override: " &amp; TEXT(DATA!C431, "mm/dd/yyyy hh:mm") ))</f>
        <v/>
      </c>
      <c r="F431" s="27" t="str">
        <f>IF(ISBLANK(DATA2!F431),"",IF(ISBLANK(DATA!D431),DATA2!F431,"Flag override " &amp; TEXT(DATA!D431, "mm/dd/yyyy hh:mm")))</f>
        <v/>
      </c>
      <c r="G431" s="27" t="str">
        <f>IF(DATA2!G431 = 0, "", IF(ISBLANK(DATA2!G431),"",IF(ISBLANK(DATA!E431),DATA2!G431,"Flag override " &amp; TEXT(DATA!E431,"mm/dd/yyyy hh:mm"))))</f>
        <v/>
      </c>
      <c r="H431" s="25" t="str">
        <f>IF(DATA!$G431&gt;0,TEXT(DATA!G431,"mm/dd/yyyy hh:mm"),"")</f>
        <v/>
      </c>
      <c r="I431" s="21"/>
    </row>
    <row r="432" spans="2:9" ht="23.25" x14ac:dyDescent="0.25">
      <c r="B432" s="25" t="str">
        <f t="shared" si="9"/>
        <v/>
      </c>
      <c r="C432" s="25" t="str">
        <f>IF(NOT(ISBLANK(DATA2!C432)),DATA2!C432,"")</f>
        <v/>
      </c>
      <c r="D432" s="25" t="str">
        <f>IF(NOT(ISBLANK(DATA2!D432)),DATA2!D432,"")</f>
        <v/>
      </c>
      <c r="E432" s="26" t="str">
        <f>IF(ISBLANK(DATA2!E432),"",IF(ISBLANK(DATA!C432),DATA2!E432,"Flag override: " &amp; TEXT(DATA!C432, "mm/dd/yyyy hh:mm") ))</f>
        <v/>
      </c>
      <c r="F432" s="27" t="str">
        <f>IF(ISBLANK(DATA2!F432),"",IF(ISBLANK(DATA!D432),DATA2!F432,"Flag override " &amp; TEXT(DATA!D432, "mm/dd/yyyy hh:mm")))</f>
        <v/>
      </c>
      <c r="G432" s="27" t="str">
        <f>IF(DATA2!G432 = 0, "", IF(ISBLANK(DATA2!G432),"",IF(ISBLANK(DATA!E432),DATA2!G432,"Flag override " &amp; TEXT(DATA!E432,"mm/dd/yyyy hh:mm"))))</f>
        <v/>
      </c>
      <c r="H432" s="25" t="str">
        <f>IF(DATA!$G432&gt;0,TEXT(DATA!G432,"mm/dd/yyyy hh:mm"),"")</f>
        <v/>
      </c>
      <c r="I432" s="21"/>
    </row>
    <row r="433" spans="2:9" ht="23.25" x14ac:dyDescent="0.25">
      <c r="B433" s="25" t="str">
        <f t="shared" si="9"/>
        <v/>
      </c>
      <c r="C433" s="25" t="str">
        <f>IF(NOT(ISBLANK(DATA2!C433)),DATA2!C433,"")</f>
        <v/>
      </c>
      <c r="D433" s="25" t="str">
        <f>IF(NOT(ISBLANK(DATA2!D433)),DATA2!D433,"")</f>
        <v/>
      </c>
      <c r="E433" s="26" t="str">
        <f>IF(ISBLANK(DATA2!E433),"",IF(ISBLANK(DATA!C433),DATA2!E433,"Flag override: " &amp; TEXT(DATA!C433, "mm/dd/yyyy hh:mm") ))</f>
        <v/>
      </c>
      <c r="F433" s="27" t="str">
        <f>IF(ISBLANK(DATA2!F433),"",IF(ISBLANK(DATA!D433),DATA2!F433,"Flag override " &amp; TEXT(DATA!D433, "mm/dd/yyyy hh:mm")))</f>
        <v/>
      </c>
      <c r="G433" s="27" t="str">
        <f>IF(DATA2!G433 = 0, "", IF(ISBLANK(DATA2!G433),"",IF(ISBLANK(DATA!E433),DATA2!G433,"Flag override " &amp; TEXT(DATA!E433,"mm/dd/yyyy hh:mm"))))</f>
        <v/>
      </c>
      <c r="H433" s="25" t="str">
        <f>IF(DATA!$G433&gt;0,TEXT(DATA!G433,"mm/dd/yyyy hh:mm"),"")</f>
        <v/>
      </c>
      <c r="I433" s="21"/>
    </row>
    <row r="434" spans="2:9" ht="23.25" x14ac:dyDescent="0.25">
      <c r="B434" s="25" t="str">
        <f t="shared" si="9"/>
        <v/>
      </c>
      <c r="C434" s="25" t="str">
        <f>IF(NOT(ISBLANK(DATA2!C434)),DATA2!C434,"")</f>
        <v/>
      </c>
      <c r="D434" s="25" t="str">
        <f>IF(NOT(ISBLANK(DATA2!D434)),DATA2!D434,"")</f>
        <v/>
      </c>
      <c r="E434" s="26" t="str">
        <f>IF(ISBLANK(DATA2!E434),"",IF(ISBLANK(DATA!C434),DATA2!E434,"Flag override: " &amp; TEXT(DATA!C434, "mm/dd/yyyy hh:mm") ))</f>
        <v/>
      </c>
      <c r="F434" s="27" t="str">
        <f>IF(ISBLANK(DATA2!F434),"",IF(ISBLANK(DATA!D434),DATA2!F434,"Flag override " &amp; TEXT(DATA!D434, "mm/dd/yyyy hh:mm")))</f>
        <v/>
      </c>
      <c r="G434" s="27" t="str">
        <f>IF(DATA2!G434 = 0, "", IF(ISBLANK(DATA2!G434),"",IF(ISBLANK(DATA!E434),DATA2!G434,"Flag override " &amp; TEXT(DATA!E434,"mm/dd/yyyy hh:mm"))))</f>
        <v/>
      </c>
      <c r="H434" s="25" t="str">
        <f>IF(DATA!$G434&gt;0,TEXT(DATA!G434,"mm/dd/yyyy hh:mm"),"")</f>
        <v/>
      </c>
      <c r="I434" s="21"/>
    </row>
    <row r="435" spans="2:9" ht="23.25" x14ac:dyDescent="0.25">
      <c r="B435" s="25" t="str">
        <f t="shared" si="9"/>
        <v/>
      </c>
      <c r="C435" s="25" t="str">
        <f>IF(NOT(ISBLANK(DATA2!C435)),DATA2!C435,"")</f>
        <v/>
      </c>
      <c r="D435" s="25" t="str">
        <f>IF(NOT(ISBLANK(DATA2!D435)),DATA2!D435,"")</f>
        <v/>
      </c>
      <c r="E435" s="26" t="str">
        <f>IF(ISBLANK(DATA2!E435),"",IF(ISBLANK(DATA!C435),DATA2!E435,"Flag override: " &amp; TEXT(DATA!C435, "mm/dd/yyyy hh:mm") ))</f>
        <v/>
      </c>
      <c r="F435" s="27" t="str">
        <f>IF(ISBLANK(DATA2!F435),"",IF(ISBLANK(DATA!D435),DATA2!F435,"Flag override " &amp; TEXT(DATA!D435, "mm/dd/yyyy hh:mm")))</f>
        <v/>
      </c>
      <c r="G435" s="27" t="str">
        <f>IF(DATA2!G435 = 0, "", IF(ISBLANK(DATA2!G435),"",IF(ISBLANK(DATA!E435),DATA2!G435,"Flag override " &amp; TEXT(DATA!E435,"mm/dd/yyyy hh:mm"))))</f>
        <v/>
      </c>
      <c r="H435" s="25" t="str">
        <f>IF(DATA!$G435&gt;0,TEXT(DATA!G435,"mm/dd/yyyy hh:mm"),"")</f>
        <v/>
      </c>
      <c r="I435" s="21"/>
    </row>
    <row r="436" spans="2:9" ht="23.25" x14ac:dyDescent="0.25">
      <c r="B436" s="25" t="str">
        <f t="shared" si="9"/>
        <v/>
      </c>
      <c r="C436" s="25" t="str">
        <f>IF(NOT(ISBLANK(DATA2!C436)),DATA2!C436,"")</f>
        <v/>
      </c>
      <c r="D436" s="25" t="str">
        <f>IF(NOT(ISBLANK(DATA2!D436)),DATA2!D436,"")</f>
        <v/>
      </c>
      <c r="E436" s="26" t="str">
        <f>IF(ISBLANK(DATA2!E436),"",IF(ISBLANK(DATA!C436),DATA2!E436,"Flag override: " &amp; TEXT(DATA!C436, "mm/dd/yyyy hh:mm") ))</f>
        <v/>
      </c>
      <c r="F436" s="27" t="str">
        <f>IF(ISBLANK(DATA2!F436),"",IF(ISBLANK(DATA!D436),DATA2!F436,"Flag override " &amp; TEXT(DATA!D436, "mm/dd/yyyy hh:mm")))</f>
        <v/>
      </c>
      <c r="G436" s="27" t="str">
        <f>IF(DATA2!G436 = 0, "", IF(ISBLANK(DATA2!G436),"",IF(ISBLANK(DATA!E436),DATA2!G436,"Flag override " &amp; TEXT(DATA!E436,"mm/dd/yyyy hh:mm"))))</f>
        <v/>
      </c>
      <c r="H436" s="25" t="str">
        <f>IF(DATA!$G436&gt;0,TEXT(DATA!G436,"mm/dd/yyyy hh:mm"),"")</f>
        <v/>
      </c>
      <c r="I436" s="21"/>
    </row>
    <row r="437" spans="2:9" ht="23.25" x14ac:dyDescent="0.25">
      <c r="B437" s="25" t="str">
        <f t="shared" si="9"/>
        <v/>
      </c>
      <c r="C437" s="25" t="str">
        <f>IF(NOT(ISBLANK(DATA2!C437)),DATA2!C437,"")</f>
        <v/>
      </c>
      <c r="D437" s="25" t="str">
        <f>IF(NOT(ISBLANK(DATA2!D437)),DATA2!D437,"")</f>
        <v/>
      </c>
      <c r="E437" s="26" t="str">
        <f>IF(ISBLANK(DATA2!E437),"",IF(ISBLANK(DATA!C437),DATA2!E437,"Flag override: " &amp; TEXT(DATA!C437, "mm/dd/yyyy hh:mm") ))</f>
        <v/>
      </c>
      <c r="F437" s="27" t="str">
        <f>IF(ISBLANK(DATA2!F437),"",IF(ISBLANK(DATA!D437),DATA2!F437,"Flag override " &amp; TEXT(DATA!D437, "mm/dd/yyyy hh:mm")))</f>
        <v/>
      </c>
      <c r="G437" s="27" t="str">
        <f>IF(DATA2!G437 = 0, "", IF(ISBLANK(DATA2!G437),"",IF(ISBLANK(DATA!E437),DATA2!G437,"Flag override " &amp; TEXT(DATA!E437,"mm/dd/yyyy hh:mm"))))</f>
        <v/>
      </c>
      <c r="H437" s="25" t="str">
        <f>IF(DATA!$G437&gt;0,TEXT(DATA!G437,"mm/dd/yyyy hh:mm"),"")</f>
        <v/>
      </c>
      <c r="I437" s="21"/>
    </row>
    <row r="438" spans="2:9" ht="23.25" x14ac:dyDescent="0.25">
      <c r="B438" s="25" t="str">
        <f t="shared" si="9"/>
        <v/>
      </c>
      <c r="C438" s="25" t="str">
        <f>IF(NOT(ISBLANK(DATA2!C438)),DATA2!C438,"")</f>
        <v/>
      </c>
      <c r="D438" s="25" t="str">
        <f>IF(NOT(ISBLANK(DATA2!D438)),DATA2!D438,"")</f>
        <v/>
      </c>
      <c r="E438" s="26" t="str">
        <f>IF(ISBLANK(DATA2!E438),"",IF(ISBLANK(DATA!C438),DATA2!E438,"Flag override: " &amp; TEXT(DATA!C438, "mm/dd/yyyy hh:mm") ))</f>
        <v/>
      </c>
      <c r="F438" s="27" t="str">
        <f>IF(ISBLANK(DATA2!F438),"",IF(ISBLANK(DATA!D438),DATA2!F438,"Flag override " &amp; TEXT(DATA!D438, "mm/dd/yyyy hh:mm")))</f>
        <v/>
      </c>
      <c r="G438" s="27" t="str">
        <f>IF(DATA2!G438 = 0, "", IF(ISBLANK(DATA2!G438),"",IF(ISBLANK(DATA!E438),DATA2!G438,"Flag override " &amp; TEXT(DATA!E438,"mm/dd/yyyy hh:mm"))))</f>
        <v/>
      </c>
      <c r="H438" s="25" t="str">
        <f>IF(DATA!$G438&gt;0,TEXT(DATA!G438,"mm/dd/yyyy hh:mm"),"")</f>
        <v/>
      </c>
      <c r="I438" s="21"/>
    </row>
    <row r="439" spans="2:9" ht="23.25" x14ac:dyDescent="0.25">
      <c r="B439" s="25" t="str">
        <f t="shared" si="9"/>
        <v/>
      </c>
      <c r="C439" s="25" t="str">
        <f>IF(NOT(ISBLANK(DATA2!C439)),DATA2!C439,"")</f>
        <v/>
      </c>
      <c r="D439" s="25" t="str">
        <f>IF(NOT(ISBLANK(DATA2!D439)),DATA2!D439,"")</f>
        <v/>
      </c>
      <c r="E439" s="26" t="str">
        <f>IF(ISBLANK(DATA2!E439),"",IF(ISBLANK(DATA!C439),DATA2!E439,"Flag override: " &amp; TEXT(DATA!C439, "mm/dd/yyyy hh:mm") ))</f>
        <v/>
      </c>
      <c r="F439" s="27" t="str">
        <f>IF(ISBLANK(DATA2!F439),"",IF(ISBLANK(DATA!D439),DATA2!F439,"Flag override " &amp; TEXT(DATA!D439, "mm/dd/yyyy hh:mm")))</f>
        <v/>
      </c>
      <c r="G439" s="27" t="str">
        <f>IF(DATA2!G439 = 0, "", IF(ISBLANK(DATA2!G439),"",IF(ISBLANK(DATA!E439),DATA2!G439,"Flag override " &amp; TEXT(DATA!E439,"mm/dd/yyyy hh:mm"))))</f>
        <v/>
      </c>
      <c r="H439" s="25" t="str">
        <f>IF(DATA!$G439&gt;0,TEXT(DATA!G439,"mm/dd/yyyy hh:mm"),"")</f>
        <v/>
      </c>
      <c r="I439" s="21"/>
    </row>
    <row r="440" spans="2:9" ht="23.25" x14ac:dyDescent="0.25">
      <c r="B440" s="25" t="str">
        <f t="shared" si="9"/>
        <v/>
      </c>
      <c r="C440" s="25" t="str">
        <f>IF(NOT(ISBLANK(DATA2!C440)),DATA2!C440,"")</f>
        <v/>
      </c>
      <c r="D440" s="25" t="str">
        <f>IF(NOT(ISBLANK(DATA2!D440)),DATA2!D440,"")</f>
        <v/>
      </c>
      <c r="E440" s="26" t="str">
        <f>IF(ISBLANK(DATA2!E440),"",IF(ISBLANK(DATA!C440),DATA2!E440,"Flag override: " &amp; TEXT(DATA!C440, "mm/dd/yyyy hh:mm") ))</f>
        <v/>
      </c>
      <c r="F440" s="27" t="str">
        <f>IF(ISBLANK(DATA2!F440),"",IF(ISBLANK(DATA!D440),DATA2!F440,"Flag override " &amp; TEXT(DATA!D440, "mm/dd/yyyy hh:mm")))</f>
        <v/>
      </c>
      <c r="G440" s="27" t="str">
        <f>IF(DATA2!G440 = 0, "", IF(ISBLANK(DATA2!G440),"",IF(ISBLANK(DATA!E440),DATA2!G440,"Flag override " &amp; TEXT(DATA!E440,"mm/dd/yyyy hh:mm"))))</f>
        <v/>
      </c>
      <c r="H440" s="25" t="str">
        <f>IF(DATA!$G440&gt;0,TEXT(DATA!G440,"mm/dd/yyyy hh:mm"),"")</f>
        <v/>
      </c>
      <c r="I440" s="21"/>
    </row>
    <row r="441" spans="2:9" ht="23.25" x14ac:dyDescent="0.25">
      <c r="B441" s="25" t="str">
        <f t="shared" si="9"/>
        <v/>
      </c>
      <c r="C441" s="25" t="str">
        <f>IF(NOT(ISBLANK(DATA2!C441)),DATA2!C441,"")</f>
        <v/>
      </c>
      <c r="D441" s="25" t="str">
        <f>IF(NOT(ISBLANK(DATA2!D441)),DATA2!D441,"")</f>
        <v/>
      </c>
      <c r="E441" s="26" t="str">
        <f>IF(ISBLANK(DATA2!E441),"",IF(ISBLANK(DATA!C441),DATA2!E441,"Flag override: " &amp; TEXT(DATA!C441, "mm/dd/yyyy hh:mm") ))</f>
        <v/>
      </c>
      <c r="F441" s="27" t="str">
        <f>IF(ISBLANK(DATA2!F441),"",IF(ISBLANK(DATA!D441),DATA2!F441,"Flag override " &amp; TEXT(DATA!D441, "mm/dd/yyyy hh:mm")))</f>
        <v/>
      </c>
      <c r="G441" s="27" t="str">
        <f>IF(DATA2!G441 = 0, "", IF(ISBLANK(DATA2!G441),"",IF(ISBLANK(DATA!E441),DATA2!G441,"Flag override " &amp; TEXT(DATA!E441,"mm/dd/yyyy hh:mm"))))</f>
        <v/>
      </c>
      <c r="H441" s="25" t="str">
        <f>IF(DATA!$G441&gt;0,TEXT(DATA!G441,"mm/dd/yyyy hh:mm"),"")</f>
        <v/>
      </c>
      <c r="I441" s="21"/>
    </row>
    <row r="442" spans="2:9" ht="23.25" x14ac:dyDescent="0.25">
      <c r="B442" s="25" t="str">
        <f t="shared" si="9"/>
        <v/>
      </c>
      <c r="C442" s="25" t="str">
        <f>IF(NOT(ISBLANK(DATA2!C442)),DATA2!C442,"")</f>
        <v/>
      </c>
      <c r="D442" s="25" t="str">
        <f>IF(NOT(ISBLANK(DATA2!D442)),DATA2!D442,"")</f>
        <v/>
      </c>
      <c r="E442" s="26" t="str">
        <f>IF(ISBLANK(DATA2!E442),"",IF(ISBLANK(DATA!C442),DATA2!E442,"Flag override: " &amp; TEXT(DATA!C442, "mm/dd/yyyy hh:mm") ))</f>
        <v/>
      </c>
      <c r="F442" s="27" t="str">
        <f>IF(ISBLANK(DATA2!F442),"",IF(ISBLANK(DATA!D442),DATA2!F442,"Flag override " &amp; TEXT(DATA!D442, "mm/dd/yyyy hh:mm")))</f>
        <v/>
      </c>
      <c r="G442" s="27" t="str">
        <f>IF(DATA2!G442 = 0, "", IF(ISBLANK(DATA2!G442),"",IF(ISBLANK(DATA!E442),DATA2!G442,"Flag override " &amp; TEXT(DATA!E442,"mm/dd/yyyy hh:mm"))))</f>
        <v/>
      </c>
      <c r="H442" s="25" t="str">
        <f>IF(DATA!$G442&gt;0,TEXT(DATA!G442,"mm/dd/yyyy hh:mm"),"")</f>
        <v/>
      </c>
      <c r="I442" s="21"/>
    </row>
    <row r="443" spans="2:9" ht="23.25" x14ac:dyDescent="0.25">
      <c r="B443" s="25" t="str">
        <f t="shared" si="9"/>
        <v/>
      </c>
      <c r="C443" s="25" t="str">
        <f>IF(NOT(ISBLANK(DATA2!C443)),DATA2!C443,"")</f>
        <v/>
      </c>
      <c r="D443" s="25" t="str">
        <f>IF(NOT(ISBLANK(DATA2!D443)),DATA2!D443,"")</f>
        <v/>
      </c>
      <c r="E443" s="26" t="str">
        <f>IF(ISBLANK(DATA2!E443),"",IF(ISBLANK(DATA!C443),DATA2!E443,"Flag override: " &amp; TEXT(DATA!C443, "mm/dd/yyyy hh:mm") ))</f>
        <v/>
      </c>
      <c r="F443" s="27" t="str">
        <f>IF(ISBLANK(DATA2!F443),"",IF(ISBLANK(DATA!D443),DATA2!F443,"Flag override " &amp; TEXT(DATA!D443, "mm/dd/yyyy hh:mm")))</f>
        <v/>
      </c>
      <c r="G443" s="27" t="str">
        <f>IF(DATA2!G443 = 0, "", IF(ISBLANK(DATA2!G443),"",IF(ISBLANK(DATA!E443),DATA2!G443,"Flag override " &amp; TEXT(DATA!E443,"mm/dd/yyyy hh:mm"))))</f>
        <v/>
      </c>
      <c r="H443" s="25" t="str">
        <f>IF(DATA!$G443&gt;0,TEXT(DATA!G443,"mm/dd/yyyy hh:mm"),"")</f>
        <v/>
      </c>
      <c r="I443" s="21"/>
    </row>
    <row r="444" spans="2:9" ht="23.25" x14ac:dyDescent="0.25">
      <c r="B444" s="25" t="str">
        <f t="shared" si="9"/>
        <v/>
      </c>
      <c r="C444" s="25" t="str">
        <f>IF(NOT(ISBLANK(DATA2!C444)),DATA2!C444,"")</f>
        <v/>
      </c>
      <c r="D444" s="25" t="str">
        <f>IF(NOT(ISBLANK(DATA2!D444)),DATA2!D444,"")</f>
        <v/>
      </c>
      <c r="E444" s="26" t="str">
        <f>IF(ISBLANK(DATA2!E444),"",IF(ISBLANK(DATA!C444),DATA2!E444,"Flag override: " &amp; TEXT(DATA!C444, "mm/dd/yyyy hh:mm") ))</f>
        <v/>
      </c>
      <c r="F444" s="27" t="str">
        <f>IF(ISBLANK(DATA2!F444),"",IF(ISBLANK(DATA!D444),DATA2!F444,"Flag override " &amp; TEXT(DATA!D444, "mm/dd/yyyy hh:mm")))</f>
        <v/>
      </c>
      <c r="G444" s="27" t="str">
        <f>IF(DATA2!G444 = 0, "", IF(ISBLANK(DATA2!G444),"",IF(ISBLANK(DATA!E444),DATA2!G444,"Flag override " &amp; TEXT(DATA!E444,"mm/dd/yyyy hh:mm"))))</f>
        <v/>
      </c>
      <c r="H444" s="25" t="str">
        <f>IF(DATA!$G444&gt;0,TEXT(DATA!G444,"mm/dd/yyyy hh:mm"),"")</f>
        <v/>
      </c>
      <c r="I444" s="21"/>
    </row>
    <row r="445" spans="2:9" ht="23.25" x14ac:dyDescent="0.25">
      <c r="B445" s="25" t="str">
        <f t="shared" si="9"/>
        <v/>
      </c>
      <c r="C445" s="25" t="str">
        <f>IF(NOT(ISBLANK(DATA2!C445)),DATA2!C445,"")</f>
        <v/>
      </c>
      <c r="D445" s="25" t="str">
        <f>IF(NOT(ISBLANK(DATA2!D445)),DATA2!D445,"")</f>
        <v/>
      </c>
      <c r="E445" s="26" t="str">
        <f>IF(ISBLANK(DATA2!E445),"",IF(ISBLANK(DATA!C445),DATA2!E445,"Flag override: " &amp; TEXT(DATA!C445, "mm/dd/yyyy hh:mm") ))</f>
        <v/>
      </c>
      <c r="F445" s="27" t="str">
        <f>IF(ISBLANK(DATA2!F445),"",IF(ISBLANK(DATA!D445),DATA2!F445,"Flag override " &amp; TEXT(DATA!D445, "mm/dd/yyyy hh:mm")))</f>
        <v/>
      </c>
      <c r="G445" s="27" t="str">
        <f>IF(DATA2!G445 = 0, "", IF(ISBLANK(DATA2!G445),"",IF(ISBLANK(DATA!E445),DATA2!G445,"Flag override " &amp; TEXT(DATA!E445,"mm/dd/yyyy hh:mm"))))</f>
        <v/>
      </c>
      <c r="H445" s="25" t="str">
        <f>IF(DATA!$G445&gt;0,TEXT(DATA!G445,"mm/dd/yyyy hh:mm"),"")</f>
        <v/>
      </c>
      <c r="I445" s="21"/>
    </row>
    <row r="446" spans="2:9" ht="23.25" x14ac:dyDescent="0.25">
      <c r="B446" s="25" t="str">
        <f t="shared" si="9"/>
        <v/>
      </c>
      <c r="C446" s="25" t="str">
        <f>IF(NOT(ISBLANK(DATA2!C446)),DATA2!C446,"")</f>
        <v/>
      </c>
      <c r="D446" s="25" t="str">
        <f>IF(NOT(ISBLANK(DATA2!D446)),DATA2!D446,"")</f>
        <v/>
      </c>
      <c r="E446" s="26" t="str">
        <f>IF(ISBLANK(DATA2!E446),"",IF(ISBLANK(DATA!C446),DATA2!E446,"Flag override: " &amp; TEXT(DATA!C446, "mm/dd/yyyy hh:mm") ))</f>
        <v/>
      </c>
      <c r="F446" s="27" t="str">
        <f>IF(ISBLANK(DATA2!F446),"",IF(ISBLANK(DATA!D446),DATA2!F446,"Flag override " &amp; TEXT(DATA!D446, "mm/dd/yyyy hh:mm")))</f>
        <v/>
      </c>
      <c r="G446" s="27" t="str">
        <f>IF(DATA2!G446 = 0, "", IF(ISBLANK(DATA2!G446),"",IF(ISBLANK(DATA!E446),DATA2!G446,"Flag override " &amp; TEXT(DATA!E446,"mm/dd/yyyy hh:mm"))))</f>
        <v/>
      </c>
      <c r="H446" s="25" t="str">
        <f>IF(DATA!$G446&gt;0,TEXT(DATA!G446,"mm/dd/yyyy hh:mm"),"")</f>
        <v/>
      </c>
      <c r="I446" s="21"/>
    </row>
    <row r="447" spans="2:9" ht="23.25" x14ac:dyDescent="0.25">
      <c r="B447" s="25" t="str">
        <f t="shared" si="9"/>
        <v/>
      </c>
      <c r="C447" s="25" t="str">
        <f>IF(NOT(ISBLANK(DATA2!C447)),DATA2!C447,"")</f>
        <v/>
      </c>
      <c r="D447" s="25" t="str">
        <f>IF(NOT(ISBLANK(DATA2!D447)),DATA2!D447,"")</f>
        <v/>
      </c>
      <c r="E447" s="26" t="str">
        <f>IF(ISBLANK(DATA2!E447),"",IF(ISBLANK(DATA!C447),DATA2!E447,"Flag override: " &amp; TEXT(DATA!C447, "mm/dd/yyyy hh:mm") ))</f>
        <v/>
      </c>
      <c r="F447" s="27" t="str">
        <f>IF(ISBLANK(DATA2!F447),"",IF(ISBLANK(DATA!D447),DATA2!F447,"Flag override " &amp; TEXT(DATA!D447, "mm/dd/yyyy hh:mm")))</f>
        <v/>
      </c>
      <c r="G447" s="27" t="str">
        <f>IF(DATA2!G447 = 0, "", IF(ISBLANK(DATA2!G447),"",IF(ISBLANK(DATA!E447),DATA2!G447,"Flag override " &amp; TEXT(DATA!E447,"mm/dd/yyyy hh:mm"))))</f>
        <v/>
      </c>
      <c r="H447" s="25" t="str">
        <f>IF(DATA!$G447&gt;0,TEXT(DATA!G447,"mm/dd/yyyy hh:mm"),"")</f>
        <v/>
      </c>
      <c r="I447" s="21"/>
    </row>
    <row r="448" spans="2:9" ht="23.25" x14ac:dyDescent="0.25">
      <c r="B448" s="25" t="str">
        <f t="shared" si="9"/>
        <v/>
      </c>
      <c r="C448" s="25" t="str">
        <f>IF(NOT(ISBLANK(DATA2!C448)),DATA2!C448,"")</f>
        <v/>
      </c>
      <c r="D448" s="25" t="str">
        <f>IF(NOT(ISBLANK(DATA2!D448)),DATA2!D448,"")</f>
        <v/>
      </c>
      <c r="E448" s="26" t="str">
        <f>IF(ISBLANK(DATA2!E448),"",IF(ISBLANK(DATA!C448),DATA2!E448,"Flag override: " &amp; TEXT(DATA!C448, "mm/dd/yyyy hh:mm") ))</f>
        <v/>
      </c>
      <c r="F448" s="27" t="str">
        <f>IF(ISBLANK(DATA2!F448),"",IF(ISBLANK(DATA!D448),DATA2!F448,"Flag override " &amp; TEXT(DATA!D448, "mm/dd/yyyy hh:mm")))</f>
        <v/>
      </c>
      <c r="G448" s="27" t="str">
        <f>IF(DATA2!G448 = 0, "", IF(ISBLANK(DATA2!G448),"",IF(ISBLANK(DATA!E448),DATA2!G448,"Flag override " &amp; TEXT(DATA!E448,"mm/dd/yyyy hh:mm"))))</f>
        <v/>
      </c>
      <c r="H448" s="25" t="str">
        <f>IF(DATA!$G448&gt;0,TEXT(DATA!G448,"mm/dd/yyyy hh:mm"),"")</f>
        <v/>
      </c>
      <c r="I448" s="21"/>
    </row>
    <row r="449" spans="2:9" ht="23.25" x14ac:dyDescent="0.25">
      <c r="B449" s="25" t="str">
        <f t="shared" si="9"/>
        <v/>
      </c>
      <c r="C449" s="25" t="str">
        <f>IF(NOT(ISBLANK(DATA2!C449)),DATA2!C449,"")</f>
        <v/>
      </c>
      <c r="D449" s="25" t="str">
        <f>IF(NOT(ISBLANK(DATA2!D449)),DATA2!D449,"")</f>
        <v/>
      </c>
      <c r="E449" s="26" t="str">
        <f>IF(ISBLANK(DATA2!E449),"",IF(ISBLANK(DATA!C449),DATA2!E449,"Flag override: " &amp; TEXT(DATA!C449, "mm/dd/yyyy hh:mm") ))</f>
        <v/>
      </c>
      <c r="F449" s="27" t="str">
        <f>IF(ISBLANK(DATA2!F449),"",IF(ISBLANK(DATA!D449),DATA2!F449,"Flag override " &amp; TEXT(DATA!D449, "mm/dd/yyyy hh:mm")))</f>
        <v/>
      </c>
      <c r="G449" s="27" t="str">
        <f>IF(DATA2!G449 = 0, "", IF(ISBLANK(DATA2!G449),"",IF(ISBLANK(DATA!E449),DATA2!G449,"Flag override " &amp; TEXT(DATA!E449,"mm/dd/yyyy hh:mm"))))</f>
        <v/>
      </c>
      <c r="H449" s="25" t="str">
        <f>IF(DATA!$G449&gt;0,TEXT(DATA!G449,"mm/dd/yyyy hh:mm"),"")</f>
        <v/>
      </c>
      <c r="I449" s="21"/>
    </row>
    <row r="450" spans="2:9" ht="23.25" x14ac:dyDescent="0.25">
      <c r="B450" s="25" t="str">
        <f t="shared" si="9"/>
        <v/>
      </c>
      <c r="C450" s="25" t="str">
        <f>IF(NOT(ISBLANK(DATA2!C450)),DATA2!C450,"")</f>
        <v/>
      </c>
      <c r="D450" s="25" t="str">
        <f>IF(NOT(ISBLANK(DATA2!D450)),DATA2!D450,"")</f>
        <v/>
      </c>
      <c r="E450" s="26" t="str">
        <f>IF(ISBLANK(DATA2!E450),"",IF(ISBLANK(DATA!C450),DATA2!E450,"Flag override: " &amp; TEXT(DATA!C450, "mm/dd/yyyy hh:mm") ))</f>
        <v/>
      </c>
      <c r="F450" s="27" t="str">
        <f>IF(ISBLANK(DATA2!F450),"",IF(ISBLANK(DATA!D450),DATA2!F450,"Flag override " &amp; TEXT(DATA!D450, "mm/dd/yyyy hh:mm")))</f>
        <v/>
      </c>
      <c r="G450" s="27" t="str">
        <f>IF(DATA2!G450 = 0, "", IF(ISBLANK(DATA2!G450),"",IF(ISBLANK(DATA!E450),DATA2!G450,"Flag override " &amp; TEXT(DATA!E450,"mm/dd/yyyy hh:mm"))))</f>
        <v/>
      </c>
      <c r="H450" s="25" t="str">
        <f>IF(DATA!$G450&gt;0,TEXT(DATA!G450,"mm/dd/yyyy hh:mm"),"")</f>
        <v/>
      </c>
      <c r="I450" s="21"/>
    </row>
    <row r="451" spans="2:9" ht="23.25" x14ac:dyDescent="0.25">
      <c r="B451" s="25" t="str">
        <f t="shared" si="9"/>
        <v/>
      </c>
      <c r="C451" s="25" t="str">
        <f>IF(NOT(ISBLANK(DATA2!C451)),DATA2!C451,"")</f>
        <v/>
      </c>
      <c r="D451" s="25" t="str">
        <f>IF(NOT(ISBLANK(DATA2!D451)),DATA2!D451,"")</f>
        <v/>
      </c>
      <c r="E451" s="26" t="str">
        <f>IF(ISBLANK(DATA2!E451),"",IF(ISBLANK(DATA!C451),DATA2!E451,"Flag override: " &amp; TEXT(DATA!C451, "mm/dd/yyyy hh:mm") ))</f>
        <v/>
      </c>
      <c r="F451" s="27" t="str">
        <f>IF(ISBLANK(DATA2!F451),"",IF(ISBLANK(DATA!D451),DATA2!F451,"Flag override " &amp; TEXT(DATA!D451, "mm/dd/yyyy hh:mm")))</f>
        <v/>
      </c>
      <c r="G451" s="27" t="str">
        <f>IF(DATA2!G451 = 0, "", IF(ISBLANK(DATA2!G451),"",IF(ISBLANK(DATA!E451),DATA2!G451,"Flag override " &amp; TEXT(DATA!E451,"mm/dd/yyyy hh:mm"))))</f>
        <v/>
      </c>
      <c r="H451" s="25" t="str">
        <f>IF(DATA!$G451&gt;0,TEXT(DATA!G451,"mm/dd/yyyy hh:mm"),"")</f>
        <v/>
      </c>
      <c r="I451" s="21"/>
    </row>
    <row r="452" spans="2:9" ht="23.25" x14ac:dyDescent="0.25">
      <c r="B452" s="25" t="str">
        <f t="shared" si="9"/>
        <v/>
      </c>
      <c r="C452" s="25" t="str">
        <f>IF(NOT(ISBLANK(DATA2!C452)),DATA2!C452,"")</f>
        <v/>
      </c>
      <c r="D452" s="25" t="str">
        <f>IF(NOT(ISBLANK(DATA2!D452)),DATA2!D452,"")</f>
        <v/>
      </c>
      <c r="E452" s="26" t="str">
        <f>IF(ISBLANK(DATA2!E452),"",IF(ISBLANK(DATA!C452),DATA2!E452,"Flag override: " &amp; TEXT(DATA!C452, "mm/dd/yyyy hh:mm") ))</f>
        <v/>
      </c>
      <c r="F452" s="27" t="str">
        <f>IF(ISBLANK(DATA2!F452),"",IF(ISBLANK(DATA!D452),DATA2!F452,"Flag override " &amp; TEXT(DATA!D452, "mm/dd/yyyy hh:mm")))</f>
        <v/>
      </c>
      <c r="G452" s="27" t="str">
        <f>IF(DATA2!G452 = 0, "", IF(ISBLANK(DATA2!G452),"",IF(ISBLANK(DATA!E452),DATA2!G452,"Flag override " &amp; TEXT(DATA!E452,"mm/dd/yyyy hh:mm"))))</f>
        <v/>
      </c>
      <c r="H452" s="25" t="str">
        <f>IF(DATA!$G452&gt;0,TEXT(DATA!G452,"mm/dd/yyyy hh:mm"),"")</f>
        <v/>
      </c>
      <c r="I452" s="21"/>
    </row>
    <row r="453" spans="2:9" ht="23.25" x14ac:dyDescent="0.25">
      <c r="B453" s="25" t="str">
        <f t="shared" si="9"/>
        <v/>
      </c>
      <c r="C453" s="25" t="str">
        <f>IF(NOT(ISBLANK(DATA2!C453)),DATA2!C453,"")</f>
        <v/>
      </c>
      <c r="D453" s="25" t="str">
        <f>IF(NOT(ISBLANK(DATA2!D453)),DATA2!D453,"")</f>
        <v/>
      </c>
      <c r="E453" s="26" t="str">
        <f>IF(ISBLANK(DATA2!E453),"",IF(ISBLANK(DATA!C453),DATA2!E453,"Flag override: " &amp; TEXT(DATA!C453, "mm/dd/yyyy hh:mm") ))</f>
        <v/>
      </c>
      <c r="F453" s="27" t="str">
        <f>IF(ISBLANK(DATA2!F453),"",IF(ISBLANK(DATA!D453),DATA2!F453,"Flag override " &amp; TEXT(DATA!D453, "mm/dd/yyyy hh:mm")))</f>
        <v/>
      </c>
      <c r="G453" s="27" t="str">
        <f>IF(DATA2!G453 = 0, "", IF(ISBLANK(DATA2!G453),"",IF(ISBLANK(DATA!E453),DATA2!G453,"Flag override " &amp; TEXT(DATA!E453,"mm/dd/yyyy hh:mm"))))</f>
        <v/>
      </c>
      <c r="H453" s="25" t="str">
        <f>IF(DATA!$G453&gt;0,TEXT(DATA!G453,"mm/dd/yyyy hh:mm"),"")</f>
        <v/>
      </c>
      <c r="I453" s="21"/>
    </row>
    <row r="454" spans="2:9" ht="23.25" x14ac:dyDescent="0.25">
      <c r="B454" s="25" t="str">
        <f t="shared" si="9"/>
        <v/>
      </c>
      <c r="C454" s="25" t="str">
        <f>IF(NOT(ISBLANK(DATA2!C454)),DATA2!C454,"")</f>
        <v/>
      </c>
      <c r="D454" s="25" t="str">
        <f>IF(NOT(ISBLANK(DATA2!D454)),DATA2!D454,"")</f>
        <v/>
      </c>
      <c r="E454" s="26" t="str">
        <f>IF(ISBLANK(DATA2!E454),"",IF(ISBLANK(DATA!C454),DATA2!E454,"Flag override: " &amp; TEXT(DATA!C454, "mm/dd/yyyy hh:mm") ))</f>
        <v/>
      </c>
      <c r="F454" s="27" t="str">
        <f>IF(ISBLANK(DATA2!F454),"",IF(ISBLANK(DATA!D454),DATA2!F454,"Flag override " &amp; TEXT(DATA!D454, "mm/dd/yyyy hh:mm")))</f>
        <v/>
      </c>
      <c r="G454" s="27" t="str">
        <f>IF(DATA2!G454 = 0, "", IF(ISBLANK(DATA2!G454),"",IF(ISBLANK(DATA!E454),DATA2!G454,"Flag override " &amp; TEXT(DATA!E454,"mm/dd/yyyy hh:mm"))))</f>
        <v/>
      </c>
      <c r="H454" s="25" t="str">
        <f>IF(DATA!$G454&gt;0,TEXT(DATA!G454,"mm/dd/yyyy hh:mm"),"")</f>
        <v/>
      </c>
      <c r="I454" s="21"/>
    </row>
    <row r="455" spans="2:9" ht="23.25" x14ac:dyDescent="0.25">
      <c r="B455" s="25" t="str">
        <f t="shared" si="9"/>
        <v/>
      </c>
      <c r="C455" s="25" t="str">
        <f>IF(NOT(ISBLANK(DATA2!C455)),DATA2!C455,"")</f>
        <v/>
      </c>
      <c r="D455" s="25" t="str">
        <f>IF(NOT(ISBLANK(DATA2!D455)),DATA2!D455,"")</f>
        <v/>
      </c>
      <c r="E455" s="26" t="str">
        <f>IF(ISBLANK(DATA2!E455),"",IF(ISBLANK(DATA!C455),DATA2!E455,"Flag override: " &amp; TEXT(DATA!C455, "mm/dd/yyyy hh:mm") ))</f>
        <v/>
      </c>
      <c r="F455" s="27" t="str">
        <f>IF(ISBLANK(DATA2!F455),"",IF(ISBLANK(DATA!D455),DATA2!F455,"Flag override " &amp; TEXT(DATA!D455, "mm/dd/yyyy hh:mm")))</f>
        <v/>
      </c>
      <c r="G455" s="27" t="str">
        <f>IF(DATA2!G455 = 0, "", IF(ISBLANK(DATA2!G455),"",IF(ISBLANK(DATA!E455),DATA2!G455,"Flag override " &amp; TEXT(DATA!E455,"mm/dd/yyyy hh:mm"))))</f>
        <v/>
      </c>
      <c r="H455" s="25" t="str">
        <f>IF(DATA!$G455&gt;0,TEXT(DATA!G455,"mm/dd/yyyy hh:mm"),"")</f>
        <v/>
      </c>
      <c r="I455" s="21"/>
    </row>
    <row r="456" spans="2:9" ht="23.25" x14ac:dyDescent="0.25">
      <c r="B456" s="25" t="str">
        <f t="shared" si="9"/>
        <v/>
      </c>
      <c r="C456" s="25" t="str">
        <f>IF(NOT(ISBLANK(DATA2!C456)),DATA2!C456,"")</f>
        <v/>
      </c>
      <c r="D456" s="25" t="str">
        <f>IF(NOT(ISBLANK(DATA2!D456)),DATA2!D456,"")</f>
        <v/>
      </c>
      <c r="E456" s="26" t="str">
        <f>IF(ISBLANK(DATA2!E456),"",IF(ISBLANK(DATA!C456),DATA2!E456,"Flag override: " &amp; TEXT(DATA!C456, "mm/dd/yyyy hh:mm") ))</f>
        <v/>
      </c>
      <c r="F456" s="27" t="str">
        <f>IF(ISBLANK(DATA2!F456),"",IF(ISBLANK(DATA!D456),DATA2!F456,"Flag override " &amp; TEXT(DATA!D456, "mm/dd/yyyy hh:mm")))</f>
        <v/>
      </c>
      <c r="G456" s="27" t="str">
        <f>IF(DATA2!G456 = 0, "", IF(ISBLANK(DATA2!G456),"",IF(ISBLANK(DATA!E456),DATA2!G456,"Flag override " &amp; TEXT(DATA!E456,"mm/dd/yyyy hh:mm"))))</f>
        <v/>
      </c>
      <c r="H456" s="25" t="str">
        <f>IF(DATA!$G456&gt;0,TEXT(DATA!G456,"mm/dd/yyyy hh:mm"),"")</f>
        <v/>
      </c>
      <c r="I456" s="21"/>
    </row>
    <row r="457" spans="2:9" ht="23.25" x14ac:dyDescent="0.25">
      <c r="B457" s="25" t="str">
        <f t="shared" ref="B457:B508" si="10">IF(LEN(C457)&lt;1,"",IF(NOT(_xlfn.ISFORMULA(B456)),1,B456+1))</f>
        <v/>
      </c>
      <c r="C457" s="25" t="str">
        <f>IF(NOT(ISBLANK(DATA2!C457)),DATA2!C457,"")</f>
        <v/>
      </c>
      <c r="D457" s="25" t="str">
        <f>IF(NOT(ISBLANK(DATA2!D457)),DATA2!D457,"")</f>
        <v/>
      </c>
      <c r="E457" s="26" t="str">
        <f>IF(ISBLANK(DATA2!E457),"",IF(ISBLANK(DATA!C457),DATA2!E457,"Flag override: " &amp; TEXT(DATA!C457, "mm/dd/yyyy hh:mm") ))</f>
        <v/>
      </c>
      <c r="F457" s="27" t="str">
        <f>IF(ISBLANK(DATA2!F457),"",IF(ISBLANK(DATA!D457),DATA2!F457,"Flag override " &amp; TEXT(DATA!D457, "mm/dd/yyyy hh:mm")))</f>
        <v/>
      </c>
      <c r="G457" s="27" t="str">
        <f>IF(DATA2!G457 = 0, "", IF(ISBLANK(DATA2!G457),"",IF(ISBLANK(DATA!E457),DATA2!G457,"Flag override " &amp; TEXT(DATA!E457,"mm/dd/yyyy hh:mm"))))</f>
        <v/>
      </c>
      <c r="H457" s="25" t="str">
        <f>IF(DATA!$G457&gt;0,TEXT(DATA!G457,"mm/dd/yyyy hh:mm"),"")</f>
        <v/>
      </c>
      <c r="I457" s="21"/>
    </row>
    <row r="458" spans="2:9" ht="23.25" x14ac:dyDescent="0.25">
      <c r="B458" s="25" t="str">
        <f t="shared" si="10"/>
        <v/>
      </c>
      <c r="C458" s="25" t="str">
        <f>IF(NOT(ISBLANK(DATA2!C458)),DATA2!C458,"")</f>
        <v/>
      </c>
      <c r="D458" s="25" t="str">
        <f>IF(NOT(ISBLANK(DATA2!D458)),DATA2!D458,"")</f>
        <v/>
      </c>
      <c r="E458" s="26" t="str">
        <f>IF(ISBLANK(DATA2!E458),"",IF(ISBLANK(DATA!C458),DATA2!E458,"Flag override: " &amp; TEXT(DATA!C458, "mm/dd/yyyy hh:mm") ))</f>
        <v/>
      </c>
      <c r="F458" s="27" t="str">
        <f>IF(ISBLANK(DATA2!F458),"",IF(ISBLANK(DATA!D458),DATA2!F458,"Flag override " &amp; TEXT(DATA!D458, "mm/dd/yyyy hh:mm")))</f>
        <v/>
      </c>
      <c r="G458" s="27" t="str">
        <f>IF(DATA2!G458 = 0, "", IF(ISBLANK(DATA2!G458),"",IF(ISBLANK(DATA!E458),DATA2!G458,"Flag override " &amp; TEXT(DATA!E458,"mm/dd/yyyy hh:mm"))))</f>
        <v/>
      </c>
      <c r="H458" s="25" t="str">
        <f>IF(DATA!$G458&gt;0,TEXT(DATA!G458,"mm/dd/yyyy hh:mm"),"")</f>
        <v/>
      </c>
      <c r="I458" s="21"/>
    </row>
    <row r="459" spans="2:9" ht="23.25" x14ac:dyDescent="0.25">
      <c r="B459" s="25" t="str">
        <f t="shared" si="10"/>
        <v/>
      </c>
      <c r="C459" s="25" t="str">
        <f>IF(NOT(ISBLANK(DATA2!C459)),DATA2!C459,"")</f>
        <v/>
      </c>
      <c r="D459" s="25" t="str">
        <f>IF(NOT(ISBLANK(DATA2!D459)),DATA2!D459,"")</f>
        <v/>
      </c>
      <c r="E459" s="26" t="str">
        <f>IF(ISBLANK(DATA2!E459),"",IF(ISBLANK(DATA!C459),DATA2!E459,"Flag override: " &amp; TEXT(DATA!C459, "mm/dd/yyyy hh:mm") ))</f>
        <v/>
      </c>
      <c r="F459" s="27" t="str">
        <f>IF(ISBLANK(DATA2!F459),"",IF(ISBLANK(DATA!D459),DATA2!F459,"Flag override " &amp; TEXT(DATA!D459, "mm/dd/yyyy hh:mm")))</f>
        <v/>
      </c>
      <c r="G459" s="27" t="str">
        <f>IF(DATA2!G459 = 0, "", IF(ISBLANK(DATA2!G459),"",IF(ISBLANK(DATA!E459),DATA2!G459,"Flag override " &amp; TEXT(DATA!E459,"mm/dd/yyyy hh:mm"))))</f>
        <v/>
      </c>
      <c r="H459" s="25" t="str">
        <f>IF(DATA!$G459&gt;0,TEXT(DATA!G459,"mm/dd/yyyy hh:mm"),"")</f>
        <v/>
      </c>
      <c r="I459" s="21"/>
    </row>
    <row r="460" spans="2:9" ht="23.25" x14ac:dyDescent="0.25">
      <c r="B460" s="25" t="str">
        <f t="shared" si="10"/>
        <v/>
      </c>
      <c r="C460" s="25" t="str">
        <f>IF(NOT(ISBLANK(DATA2!C460)),DATA2!C460,"")</f>
        <v/>
      </c>
      <c r="D460" s="25" t="str">
        <f>IF(NOT(ISBLANK(DATA2!D460)),DATA2!D460,"")</f>
        <v/>
      </c>
      <c r="E460" s="26" t="str">
        <f>IF(ISBLANK(DATA2!E460),"",IF(ISBLANK(DATA!C460),DATA2!E460,"Flag override: " &amp; TEXT(DATA!C460, "mm/dd/yyyy hh:mm") ))</f>
        <v/>
      </c>
      <c r="F460" s="27" t="str">
        <f>IF(ISBLANK(DATA2!F460),"",IF(ISBLANK(DATA!D460),DATA2!F460,"Flag override " &amp; TEXT(DATA!D460, "mm/dd/yyyy hh:mm")))</f>
        <v/>
      </c>
      <c r="G460" s="27" t="str">
        <f>IF(DATA2!G460 = 0, "", IF(ISBLANK(DATA2!G460),"",IF(ISBLANK(DATA!E460),DATA2!G460,"Flag override " &amp; TEXT(DATA!E460,"mm/dd/yyyy hh:mm"))))</f>
        <v/>
      </c>
      <c r="H460" s="25" t="str">
        <f>IF(DATA!$G460&gt;0,TEXT(DATA!G460,"mm/dd/yyyy hh:mm"),"")</f>
        <v/>
      </c>
      <c r="I460" s="21"/>
    </row>
    <row r="461" spans="2:9" ht="23.25" x14ac:dyDescent="0.25">
      <c r="B461" s="25" t="str">
        <f t="shared" si="10"/>
        <v/>
      </c>
      <c r="C461" s="25" t="str">
        <f>IF(NOT(ISBLANK(DATA2!C461)),DATA2!C461,"")</f>
        <v/>
      </c>
      <c r="D461" s="25" t="str">
        <f>IF(NOT(ISBLANK(DATA2!D461)),DATA2!D461,"")</f>
        <v/>
      </c>
      <c r="E461" s="26" t="str">
        <f>IF(ISBLANK(DATA2!E461),"",IF(ISBLANK(DATA!C461),DATA2!E461,"Flag override: " &amp; TEXT(DATA!C461, "mm/dd/yyyy hh:mm") ))</f>
        <v/>
      </c>
      <c r="F461" s="27" t="str">
        <f>IF(ISBLANK(DATA2!F461),"",IF(ISBLANK(DATA!D461),DATA2!F461,"Flag override " &amp; TEXT(DATA!D461, "mm/dd/yyyy hh:mm")))</f>
        <v/>
      </c>
      <c r="G461" s="27" t="str">
        <f>IF(DATA2!G461 = 0, "", IF(ISBLANK(DATA2!G461),"",IF(ISBLANK(DATA!E461),DATA2!G461,"Flag override " &amp; TEXT(DATA!E461,"mm/dd/yyyy hh:mm"))))</f>
        <v/>
      </c>
      <c r="H461" s="25" t="str">
        <f>IF(DATA!$G461&gt;0,TEXT(DATA!G461,"mm/dd/yyyy hh:mm"),"")</f>
        <v/>
      </c>
      <c r="I461" s="21"/>
    </row>
    <row r="462" spans="2:9" ht="23.25" x14ac:dyDescent="0.25">
      <c r="B462" s="25" t="str">
        <f t="shared" si="10"/>
        <v/>
      </c>
      <c r="C462" s="25" t="str">
        <f>IF(NOT(ISBLANK(DATA2!C462)),DATA2!C462,"")</f>
        <v/>
      </c>
      <c r="D462" s="25" t="str">
        <f>IF(NOT(ISBLANK(DATA2!D462)),DATA2!D462,"")</f>
        <v/>
      </c>
      <c r="E462" s="26" t="str">
        <f>IF(ISBLANK(DATA2!E462),"",IF(ISBLANK(DATA!C462),DATA2!E462,"Flag override: " &amp; TEXT(DATA!C462, "mm/dd/yyyy hh:mm") ))</f>
        <v/>
      </c>
      <c r="F462" s="27" t="str">
        <f>IF(ISBLANK(DATA2!F462),"",IF(ISBLANK(DATA!D462),DATA2!F462,"Flag override " &amp; TEXT(DATA!D462, "mm/dd/yyyy hh:mm")))</f>
        <v/>
      </c>
      <c r="G462" s="27" t="str">
        <f>IF(DATA2!G462 = 0, "", IF(ISBLANK(DATA2!G462),"",IF(ISBLANK(DATA!E462),DATA2!G462,"Flag override " &amp; TEXT(DATA!E462,"mm/dd/yyyy hh:mm"))))</f>
        <v/>
      </c>
      <c r="H462" s="25" t="str">
        <f>IF(DATA!$G462&gt;0,TEXT(DATA!G462,"mm/dd/yyyy hh:mm"),"")</f>
        <v/>
      </c>
      <c r="I462" s="21"/>
    </row>
    <row r="463" spans="2:9" ht="23.25" x14ac:dyDescent="0.25">
      <c r="B463" s="25" t="str">
        <f t="shared" si="10"/>
        <v/>
      </c>
      <c r="C463" s="25" t="str">
        <f>IF(NOT(ISBLANK(DATA2!C463)),DATA2!C463,"")</f>
        <v/>
      </c>
      <c r="D463" s="25" t="str">
        <f>IF(NOT(ISBLANK(DATA2!D463)),DATA2!D463,"")</f>
        <v/>
      </c>
      <c r="E463" s="26" t="str">
        <f>IF(ISBLANK(DATA2!E463),"",IF(ISBLANK(DATA!C463),DATA2!E463,"Flag override: " &amp; TEXT(DATA!C463, "mm/dd/yyyy hh:mm") ))</f>
        <v/>
      </c>
      <c r="F463" s="27" t="str">
        <f>IF(ISBLANK(DATA2!F463),"",IF(ISBLANK(DATA!D463),DATA2!F463,"Flag override " &amp; TEXT(DATA!D463, "mm/dd/yyyy hh:mm")))</f>
        <v/>
      </c>
      <c r="G463" s="27" t="str">
        <f>IF(DATA2!G463 = 0, "", IF(ISBLANK(DATA2!G463),"",IF(ISBLANK(DATA!E463),DATA2!G463,"Flag override " &amp; TEXT(DATA!E463,"mm/dd/yyyy hh:mm"))))</f>
        <v/>
      </c>
      <c r="H463" s="25" t="str">
        <f>IF(DATA!$G463&gt;0,TEXT(DATA!G463,"mm/dd/yyyy hh:mm"),"")</f>
        <v/>
      </c>
      <c r="I463" s="21"/>
    </row>
    <row r="464" spans="2:9" ht="23.25" x14ac:dyDescent="0.25">
      <c r="B464" s="25" t="str">
        <f t="shared" si="10"/>
        <v/>
      </c>
      <c r="C464" s="25" t="str">
        <f>IF(NOT(ISBLANK(DATA2!C464)),DATA2!C464,"")</f>
        <v/>
      </c>
      <c r="D464" s="25" t="str">
        <f>IF(NOT(ISBLANK(DATA2!D464)),DATA2!D464,"")</f>
        <v/>
      </c>
      <c r="E464" s="26" t="str">
        <f>IF(ISBLANK(DATA2!E464),"",IF(ISBLANK(DATA!C464),DATA2!E464,"Flag override: " &amp; TEXT(DATA!C464, "mm/dd/yyyy hh:mm") ))</f>
        <v/>
      </c>
      <c r="F464" s="27" t="str">
        <f>IF(ISBLANK(DATA2!F464),"",IF(ISBLANK(DATA!D464),DATA2!F464,"Flag override " &amp; TEXT(DATA!D464, "mm/dd/yyyy hh:mm")))</f>
        <v/>
      </c>
      <c r="G464" s="27" t="str">
        <f>IF(DATA2!G464 = 0, "", IF(ISBLANK(DATA2!G464),"",IF(ISBLANK(DATA!E464),DATA2!G464,"Flag override " &amp; TEXT(DATA!E464,"mm/dd/yyyy hh:mm"))))</f>
        <v/>
      </c>
      <c r="H464" s="25" t="str">
        <f>IF(DATA!$G464&gt;0,TEXT(DATA!G464,"mm/dd/yyyy hh:mm"),"")</f>
        <v/>
      </c>
      <c r="I464" s="21"/>
    </row>
    <row r="465" spans="2:9" ht="23.25" x14ac:dyDescent="0.25">
      <c r="B465" s="25" t="str">
        <f t="shared" si="10"/>
        <v/>
      </c>
      <c r="C465" s="25" t="str">
        <f>IF(NOT(ISBLANK(DATA2!C465)),DATA2!C465,"")</f>
        <v/>
      </c>
      <c r="D465" s="25" t="str">
        <f>IF(NOT(ISBLANK(DATA2!D465)),DATA2!D465,"")</f>
        <v/>
      </c>
      <c r="E465" s="26" t="str">
        <f>IF(ISBLANK(DATA2!E465),"",IF(ISBLANK(DATA!C465),DATA2!E465,"Flag override: " &amp; TEXT(DATA!C465, "mm/dd/yyyy hh:mm") ))</f>
        <v/>
      </c>
      <c r="F465" s="27" t="str">
        <f>IF(ISBLANK(DATA2!F465),"",IF(ISBLANK(DATA!D465),DATA2!F465,"Flag override " &amp; TEXT(DATA!D465, "mm/dd/yyyy hh:mm")))</f>
        <v/>
      </c>
      <c r="G465" s="27" t="str">
        <f>IF(DATA2!G465 = 0, "", IF(ISBLANK(DATA2!G465),"",IF(ISBLANK(DATA!E465),DATA2!G465,"Flag override " &amp; TEXT(DATA!E465,"mm/dd/yyyy hh:mm"))))</f>
        <v/>
      </c>
      <c r="H465" s="25" t="str">
        <f>IF(DATA!$G465&gt;0,TEXT(DATA!G465,"mm/dd/yyyy hh:mm"),"")</f>
        <v/>
      </c>
      <c r="I465" s="21"/>
    </row>
    <row r="466" spans="2:9" ht="23.25" x14ac:dyDescent="0.25">
      <c r="B466" s="25" t="str">
        <f t="shared" si="10"/>
        <v/>
      </c>
      <c r="C466" s="25" t="str">
        <f>IF(NOT(ISBLANK(DATA2!C466)),DATA2!C466,"")</f>
        <v/>
      </c>
      <c r="D466" s="25" t="str">
        <f>IF(NOT(ISBLANK(DATA2!D466)),DATA2!D466,"")</f>
        <v/>
      </c>
      <c r="E466" s="26" t="str">
        <f>IF(ISBLANK(DATA2!E466),"",IF(ISBLANK(DATA!C466),DATA2!E466,"Flag override: " &amp; TEXT(DATA!C466, "mm/dd/yyyy hh:mm") ))</f>
        <v/>
      </c>
      <c r="F466" s="27" t="str">
        <f>IF(ISBLANK(DATA2!F466),"",IF(ISBLANK(DATA!D466),DATA2!F466,"Flag override " &amp; TEXT(DATA!D466, "mm/dd/yyyy hh:mm")))</f>
        <v/>
      </c>
      <c r="G466" s="27" t="str">
        <f>IF(DATA2!G466 = 0, "", IF(ISBLANK(DATA2!G466),"",IF(ISBLANK(DATA!E466),DATA2!G466,"Flag override " &amp; TEXT(DATA!E466,"mm/dd/yyyy hh:mm"))))</f>
        <v/>
      </c>
      <c r="H466" s="25" t="str">
        <f>IF(DATA!$G466&gt;0,TEXT(DATA!G466,"mm/dd/yyyy hh:mm"),"")</f>
        <v/>
      </c>
      <c r="I466" s="21"/>
    </row>
    <row r="467" spans="2:9" ht="23.25" x14ac:dyDescent="0.25">
      <c r="B467" s="25" t="str">
        <f t="shared" si="10"/>
        <v/>
      </c>
      <c r="C467" s="25" t="str">
        <f>IF(NOT(ISBLANK(DATA2!C467)),DATA2!C467,"")</f>
        <v/>
      </c>
      <c r="D467" s="25" t="str">
        <f>IF(NOT(ISBLANK(DATA2!D467)),DATA2!D467,"")</f>
        <v/>
      </c>
      <c r="E467" s="26" t="str">
        <f>IF(ISBLANK(DATA2!E467),"",IF(ISBLANK(DATA!C467),DATA2!E467,"Flag override: " &amp; TEXT(DATA!C467, "mm/dd/yyyy hh:mm") ))</f>
        <v/>
      </c>
      <c r="F467" s="27" t="str">
        <f>IF(ISBLANK(DATA2!F467),"",IF(ISBLANK(DATA!D467),DATA2!F467,"Flag override " &amp; TEXT(DATA!D467, "mm/dd/yyyy hh:mm")))</f>
        <v/>
      </c>
      <c r="G467" s="27" t="str">
        <f>IF(DATA2!G467 = 0, "", IF(ISBLANK(DATA2!G467),"",IF(ISBLANK(DATA!E467),DATA2!G467,"Flag override " &amp; TEXT(DATA!E467,"mm/dd/yyyy hh:mm"))))</f>
        <v/>
      </c>
      <c r="H467" s="25" t="str">
        <f>IF(DATA!$G467&gt;0,TEXT(DATA!G467,"mm/dd/yyyy hh:mm"),"")</f>
        <v/>
      </c>
      <c r="I467" s="21"/>
    </row>
    <row r="468" spans="2:9" ht="23.25" x14ac:dyDescent="0.25">
      <c r="B468" s="25" t="str">
        <f t="shared" si="10"/>
        <v/>
      </c>
      <c r="C468" s="25" t="str">
        <f>IF(NOT(ISBLANK(DATA2!C468)),DATA2!C468,"")</f>
        <v/>
      </c>
      <c r="D468" s="25" t="str">
        <f>IF(NOT(ISBLANK(DATA2!D468)),DATA2!D468,"")</f>
        <v/>
      </c>
      <c r="E468" s="26" t="str">
        <f>IF(ISBLANK(DATA2!E468),"",IF(ISBLANK(DATA!C468),DATA2!E468,"Flag override: " &amp; TEXT(DATA!C468, "mm/dd/yyyy hh:mm") ))</f>
        <v/>
      </c>
      <c r="F468" s="27" t="str">
        <f>IF(ISBLANK(DATA2!F468),"",IF(ISBLANK(DATA!D468),DATA2!F468,"Flag override " &amp; TEXT(DATA!D468, "mm/dd/yyyy hh:mm")))</f>
        <v/>
      </c>
      <c r="G468" s="27" t="str">
        <f>IF(DATA2!G468 = 0, "", IF(ISBLANK(DATA2!G468),"",IF(ISBLANK(DATA!E468),DATA2!G468,"Flag override " &amp; TEXT(DATA!E468,"mm/dd/yyyy hh:mm"))))</f>
        <v/>
      </c>
      <c r="H468" s="25" t="str">
        <f>IF(DATA!$G468&gt;0,TEXT(DATA!G468,"mm/dd/yyyy hh:mm"),"")</f>
        <v/>
      </c>
      <c r="I468" s="21"/>
    </row>
    <row r="469" spans="2:9" ht="23.25" x14ac:dyDescent="0.25">
      <c r="B469" s="25" t="str">
        <f t="shared" si="10"/>
        <v/>
      </c>
      <c r="C469" s="25" t="str">
        <f>IF(NOT(ISBLANK(DATA2!C469)),DATA2!C469,"")</f>
        <v/>
      </c>
      <c r="D469" s="25" t="str">
        <f>IF(NOT(ISBLANK(DATA2!D469)),DATA2!D469,"")</f>
        <v/>
      </c>
      <c r="E469" s="26" t="str">
        <f>IF(ISBLANK(DATA2!E469),"",IF(ISBLANK(DATA!C469),DATA2!E469,"Flag override: " &amp; TEXT(DATA!C469, "mm/dd/yyyy hh:mm") ))</f>
        <v/>
      </c>
      <c r="F469" s="27" t="str">
        <f>IF(ISBLANK(DATA2!F469),"",IF(ISBLANK(DATA!D469),DATA2!F469,"Flag override " &amp; TEXT(DATA!D469, "mm/dd/yyyy hh:mm")))</f>
        <v/>
      </c>
      <c r="G469" s="27" t="str">
        <f>IF(DATA2!G469 = 0, "", IF(ISBLANK(DATA2!G469),"",IF(ISBLANK(DATA!E469),DATA2!G469,"Flag override " &amp; TEXT(DATA!E469,"mm/dd/yyyy hh:mm"))))</f>
        <v/>
      </c>
      <c r="H469" s="25" t="str">
        <f>IF(DATA!$G469&gt;0,TEXT(DATA!G469,"mm/dd/yyyy hh:mm"),"")</f>
        <v/>
      </c>
      <c r="I469" s="21"/>
    </row>
    <row r="470" spans="2:9" ht="23.25" x14ac:dyDescent="0.25">
      <c r="B470" s="25" t="str">
        <f t="shared" si="10"/>
        <v/>
      </c>
      <c r="C470" s="25" t="str">
        <f>IF(NOT(ISBLANK(DATA2!C470)),DATA2!C470,"")</f>
        <v/>
      </c>
      <c r="D470" s="25" t="str">
        <f>IF(NOT(ISBLANK(DATA2!D470)),DATA2!D470,"")</f>
        <v/>
      </c>
      <c r="E470" s="26" t="str">
        <f>IF(ISBLANK(DATA2!E470),"",IF(ISBLANK(DATA!C470),DATA2!E470,"Flag override: " &amp; TEXT(DATA!C470, "mm/dd/yyyy hh:mm") ))</f>
        <v/>
      </c>
      <c r="F470" s="27" t="str">
        <f>IF(ISBLANK(DATA2!F470),"",IF(ISBLANK(DATA!D470),DATA2!F470,"Flag override " &amp; TEXT(DATA!D470, "mm/dd/yyyy hh:mm")))</f>
        <v/>
      </c>
      <c r="G470" s="27" t="str">
        <f>IF(DATA2!G470 = 0, "", IF(ISBLANK(DATA2!G470),"",IF(ISBLANK(DATA!E470),DATA2!G470,"Flag override " &amp; TEXT(DATA!E470,"mm/dd/yyyy hh:mm"))))</f>
        <v/>
      </c>
      <c r="H470" s="25" t="str">
        <f>IF(DATA!$G470&gt;0,TEXT(DATA!G470,"mm/dd/yyyy hh:mm"),"")</f>
        <v/>
      </c>
      <c r="I470" s="21"/>
    </row>
    <row r="471" spans="2:9" ht="23.25" x14ac:dyDescent="0.25">
      <c r="B471" s="25" t="str">
        <f t="shared" si="10"/>
        <v/>
      </c>
      <c r="C471" s="25" t="str">
        <f>IF(NOT(ISBLANK(DATA2!C471)),DATA2!C471,"")</f>
        <v/>
      </c>
      <c r="D471" s="25" t="str">
        <f>IF(NOT(ISBLANK(DATA2!D471)),DATA2!D471,"")</f>
        <v/>
      </c>
      <c r="E471" s="26" t="str">
        <f>IF(ISBLANK(DATA2!E471),"",IF(ISBLANK(DATA!C471),DATA2!E471,"Flag override: " &amp; TEXT(DATA!C471, "mm/dd/yyyy hh:mm") ))</f>
        <v/>
      </c>
      <c r="F471" s="27" t="str">
        <f>IF(ISBLANK(DATA2!F471),"",IF(ISBLANK(DATA!D471),DATA2!F471,"Flag override " &amp; TEXT(DATA!D471, "mm/dd/yyyy hh:mm")))</f>
        <v/>
      </c>
      <c r="G471" s="27" t="str">
        <f>IF(DATA2!G471 = 0, "", IF(ISBLANK(DATA2!G471),"",IF(ISBLANK(DATA!E471),DATA2!G471,"Flag override " &amp; TEXT(DATA!E471,"mm/dd/yyyy hh:mm"))))</f>
        <v/>
      </c>
      <c r="H471" s="25" t="str">
        <f>IF(DATA!$G471&gt;0,TEXT(DATA!G471,"mm/dd/yyyy hh:mm"),"")</f>
        <v/>
      </c>
      <c r="I471" s="21"/>
    </row>
    <row r="472" spans="2:9" ht="23.25" x14ac:dyDescent="0.25">
      <c r="B472" s="25" t="str">
        <f t="shared" si="10"/>
        <v/>
      </c>
      <c r="C472" s="25" t="str">
        <f>IF(NOT(ISBLANK(DATA2!C472)),DATA2!C472,"")</f>
        <v/>
      </c>
      <c r="D472" s="25" t="str">
        <f>IF(NOT(ISBLANK(DATA2!D472)),DATA2!D472,"")</f>
        <v/>
      </c>
      <c r="E472" s="26" t="str">
        <f>IF(ISBLANK(DATA2!E472),"",IF(ISBLANK(DATA!C472),DATA2!E472,"Flag override: " &amp; TEXT(DATA!C472, "mm/dd/yyyy hh:mm") ))</f>
        <v/>
      </c>
      <c r="F472" s="27" t="str">
        <f>IF(ISBLANK(DATA2!F472),"",IF(ISBLANK(DATA!D472),DATA2!F472,"Flag override " &amp; TEXT(DATA!D472, "mm/dd/yyyy hh:mm")))</f>
        <v/>
      </c>
      <c r="G472" s="27" t="str">
        <f>IF(DATA2!G472 = 0, "", IF(ISBLANK(DATA2!G472),"",IF(ISBLANK(DATA!E472),DATA2!G472,"Flag override " &amp; TEXT(DATA!E472,"mm/dd/yyyy hh:mm"))))</f>
        <v/>
      </c>
      <c r="H472" s="25" t="str">
        <f>IF(DATA!$G472&gt;0,TEXT(DATA!G472,"mm/dd/yyyy hh:mm"),"")</f>
        <v/>
      </c>
      <c r="I472" s="21"/>
    </row>
    <row r="473" spans="2:9" ht="23.25" x14ac:dyDescent="0.25">
      <c r="B473" s="25" t="str">
        <f t="shared" si="10"/>
        <v/>
      </c>
      <c r="C473" s="25" t="str">
        <f>IF(NOT(ISBLANK(DATA2!C473)),DATA2!C473,"")</f>
        <v/>
      </c>
      <c r="D473" s="25" t="str">
        <f>IF(NOT(ISBLANK(DATA2!D473)),DATA2!D473,"")</f>
        <v/>
      </c>
      <c r="E473" s="26" t="str">
        <f>IF(ISBLANK(DATA2!E473),"",IF(ISBLANK(DATA!C473),DATA2!E473,"Flag override: " &amp; TEXT(DATA!C473, "mm/dd/yyyy hh:mm") ))</f>
        <v/>
      </c>
      <c r="F473" s="27" t="str">
        <f>IF(ISBLANK(DATA2!F473),"",IF(ISBLANK(DATA!D473),DATA2!F473,"Flag override " &amp; TEXT(DATA!D473, "mm/dd/yyyy hh:mm")))</f>
        <v/>
      </c>
      <c r="G473" s="27" t="str">
        <f>IF(DATA2!G473 = 0, "", IF(ISBLANK(DATA2!G473),"",IF(ISBLANK(DATA!E473),DATA2!G473,"Flag override " &amp; TEXT(DATA!E473,"mm/dd/yyyy hh:mm"))))</f>
        <v/>
      </c>
      <c r="H473" s="25" t="str">
        <f>IF(DATA!$G473&gt;0,TEXT(DATA!G473,"mm/dd/yyyy hh:mm"),"")</f>
        <v/>
      </c>
      <c r="I473" s="21"/>
    </row>
    <row r="474" spans="2:9" ht="23.25" x14ac:dyDescent="0.25">
      <c r="B474" s="25" t="str">
        <f t="shared" si="10"/>
        <v/>
      </c>
      <c r="C474" s="25" t="str">
        <f>IF(NOT(ISBLANK(DATA2!C474)),DATA2!C474,"")</f>
        <v/>
      </c>
      <c r="D474" s="25" t="str">
        <f>IF(NOT(ISBLANK(DATA2!D474)),DATA2!D474,"")</f>
        <v/>
      </c>
      <c r="E474" s="26" t="str">
        <f>IF(ISBLANK(DATA2!E474),"",IF(ISBLANK(DATA!C474),DATA2!E474,"Flag override: " &amp; TEXT(DATA!C474, "mm/dd/yyyy hh:mm") ))</f>
        <v/>
      </c>
      <c r="F474" s="27" t="str">
        <f>IF(ISBLANK(DATA2!F474),"",IF(ISBLANK(DATA!D474),DATA2!F474,"Flag override " &amp; TEXT(DATA!D474, "mm/dd/yyyy hh:mm")))</f>
        <v/>
      </c>
      <c r="G474" s="27" t="str">
        <f>IF(DATA2!G474 = 0, "", IF(ISBLANK(DATA2!G474),"",IF(ISBLANK(DATA!E474),DATA2!G474,"Flag override " &amp; TEXT(DATA!E474,"mm/dd/yyyy hh:mm"))))</f>
        <v/>
      </c>
      <c r="H474" s="25" t="str">
        <f>IF(DATA!$G474&gt;0,TEXT(DATA!G474,"mm/dd/yyyy hh:mm"),"")</f>
        <v/>
      </c>
      <c r="I474" s="21"/>
    </row>
    <row r="475" spans="2:9" ht="23.25" x14ac:dyDescent="0.25">
      <c r="B475" s="25" t="str">
        <f t="shared" si="10"/>
        <v/>
      </c>
      <c r="C475" s="25" t="str">
        <f>IF(NOT(ISBLANK(DATA2!C475)),DATA2!C475,"")</f>
        <v/>
      </c>
      <c r="D475" s="25" t="str">
        <f>IF(NOT(ISBLANK(DATA2!D475)),DATA2!D475,"")</f>
        <v/>
      </c>
      <c r="E475" s="26" t="str">
        <f>IF(ISBLANK(DATA2!E475),"",IF(ISBLANK(DATA!C475),DATA2!E475,"Flag override: " &amp; TEXT(DATA!C475, "mm/dd/yyyy hh:mm") ))</f>
        <v/>
      </c>
      <c r="F475" s="27" t="str">
        <f>IF(ISBLANK(DATA2!F475),"",IF(ISBLANK(DATA!D475),DATA2!F475,"Flag override " &amp; TEXT(DATA!D475, "mm/dd/yyyy hh:mm")))</f>
        <v/>
      </c>
      <c r="G475" s="27" t="str">
        <f>IF(DATA2!G475 = 0, "", IF(ISBLANK(DATA2!G475),"",IF(ISBLANK(DATA!E475),DATA2!G475,"Flag override " &amp; TEXT(DATA!E475,"mm/dd/yyyy hh:mm"))))</f>
        <v/>
      </c>
      <c r="H475" s="25" t="str">
        <f>IF(DATA!$G475&gt;0,TEXT(DATA!G475,"mm/dd/yyyy hh:mm"),"")</f>
        <v/>
      </c>
      <c r="I475" s="21"/>
    </row>
    <row r="476" spans="2:9" ht="23.25" x14ac:dyDescent="0.25">
      <c r="B476" s="25" t="str">
        <f t="shared" si="10"/>
        <v/>
      </c>
      <c r="C476" s="25" t="str">
        <f>IF(NOT(ISBLANK(DATA2!C476)),DATA2!C476,"")</f>
        <v/>
      </c>
      <c r="D476" s="25" t="str">
        <f>IF(NOT(ISBLANK(DATA2!D476)),DATA2!D476,"")</f>
        <v/>
      </c>
      <c r="E476" s="26" t="str">
        <f>IF(ISBLANK(DATA2!E476),"",IF(ISBLANK(DATA!C476),DATA2!E476,"Flag override: " &amp; TEXT(DATA!C476, "mm/dd/yyyy hh:mm") ))</f>
        <v/>
      </c>
      <c r="F476" s="27" t="str">
        <f>IF(ISBLANK(DATA2!F476),"",IF(ISBLANK(DATA!D476),DATA2!F476,"Flag override " &amp; TEXT(DATA!D476, "mm/dd/yyyy hh:mm")))</f>
        <v/>
      </c>
      <c r="G476" s="27" t="str">
        <f>IF(DATA2!G476 = 0, "", IF(ISBLANK(DATA2!G476),"",IF(ISBLANK(DATA!E476),DATA2!G476,"Flag override " &amp; TEXT(DATA!E476,"mm/dd/yyyy hh:mm"))))</f>
        <v/>
      </c>
      <c r="H476" s="25" t="str">
        <f>IF(DATA!$G476&gt;0,TEXT(DATA!G476,"mm/dd/yyyy hh:mm"),"")</f>
        <v/>
      </c>
      <c r="I476" s="21"/>
    </row>
    <row r="477" spans="2:9" ht="23.25" x14ac:dyDescent="0.25">
      <c r="B477" s="25" t="str">
        <f t="shared" si="10"/>
        <v/>
      </c>
      <c r="C477" s="25" t="str">
        <f>IF(NOT(ISBLANK(DATA2!C477)),DATA2!C477,"")</f>
        <v/>
      </c>
      <c r="D477" s="25" t="str">
        <f>IF(NOT(ISBLANK(DATA2!D477)),DATA2!D477,"")</f>
        <v/>
      </c>
      <c r="E477" s="26" t="str">
        <f>IF(ISBLANK(DATA2!E477),"",IF(ISBLANK(DATA!C477),DATA2!E477,"Flag override: " &amp; TEXT(DATA!C477, "mm/dd/yyyy hh:mm") ))</f>
        <v/>
      </c>
      <c r="F477" s="27" t="str">
        <f>IF(ISBLANK(DATA2!F477),"",IF(ISBLANK(DATA!D477),DATA2!F477,"Flag override " &amp; TEXT(DATA!D477, "mm/dd/yyyy hh:mm")))</f>
        <v/>
      </c>
      <c r="G477" s="27" t="str">
        <f>IF(DATA2!G477 = 0, "", IF(ISBLANK(DATA2!G477),"",IF(ISBLANK(DATA!E477),DATA2!G477,"Flag override " &amp; TEXT(DATA!E477,"mm/dd/yyyy hh:mm"))))</f>
        <v/>
      </c>
      <c r="H477" s="25" t="str">
        <f>IF(DATA!$G477&gt;0,TEXT(DATA!G477,"mm/dd/yyyy hh:mm"),"")</f>
        <v/>
      </c>
      <c r="I477" s="21"/>
    </row>
    <row r="478" spans="2:9" ht="23.25" x14ac:dyDescent="0.25">
      <c r="B478" s="25" t="str">
        <f t="shared" si="10"/>
        <v/>
      </c>
      <c r="C478" s="25" t="str">
        <f>IF(NOT(ISBLANK(DATA2!C478)),DATA2!C478,"")</f>
        <v/>
      </c>
      <c r="D478" s="25" t="str">
        <f>IF(NOT(ISBLANK(DATA2!D478)),DATA2!D478,"")</f>
        <v/>
      </c>
      <c r="E478" s="26" t="str">
        <f>IF(ISBLANK(DATA2!E478),"",IF(ISBLANK(DATA!C478),DATA2!E478,"Flag override: " &amp; TEXT(DATA!C478, "mm/dd/yyyy hh:mm") ))</f>
        <v/>
      </c>
      <c r="F478" s="27" t="str">
        <f>IF(ISBLANK(DATA2!F478),"",IF(ISBLANK(DATA!D478),DATA2!F478,"Flag override " &amp; TEXT(DATA!D478, "mm/dd/yyyy hh:mm")))</f>
        <v/>
      </c>
      <c r="G478" s="27" t="str">
        <f>IF(DATA2!G478 = 0, "", IF(ISBLANK(DATA2!G478),"",IF(ISBLANK(DATA!E478),DATA2!G478,"Flag override " &amp; TEXT(DATA!E478,"mm/dd/yyyy hh:mm"))))</f>
        <v/>
      </c>
      <c r="H478" s="25" t="str">
        <f>IF(DATA!$G478&gt;0,TEXT(DATA!G478,"mm/dd/yyyy hh:mm"),"")</f>
        <v/>
      </c>
      <c r="I478" s="21"/>
    </row>
    <row r="479" spans="2:9" ht="23.25" x14ac:dyDescent="0.25">
      <c r="B479" s="25" t="str">
        <f t="shared" si="10"/>
        <v/>
      </c>
      <c r="C479" s="25" t="str">
        <f>IF(NOT(ISBLANK(DATA2!C479)),DATA2!C479,"")</f>
        <v/>
      </c>
      <c r="D479" s="25" t="str">
        <f>IF(NOT(ISBLANK(DATA2!D479)),DATA2!D479,"")</f>
        <v/>
      </c>
      <c r="E479" s="26" t="str">
        <f>IF(ISBLANK(DATA2!E479),"",IF(ISBLANK(DATA!C479),DATA2!E479,"Flag override: " &amp; TEXT(DATA!C479, "mm/dd/yyyy hh:mm") ))</f>
        <v/>
      </c>
      <c r="F479" s="27" t="str">
        <f>IF(ISBLANK(DATA2!F479),"",IF(ISBLANK(DATA!D479),DATA2!F479,"Flag override " &amp; TEXT(DATA!D479, "mm/dd/yyyy hh:mm")))</f>
        <v/>
      </c>
      <c r="G479" s="27" t="str">
        <f>IF(DATA2!G479 = 0, "", IF(ISBLANK(DATA2!G479),"",IF(ISBLANK(DATA!E479),DATA2!G479,"Flag override " &amp; TEXT(DATA!E479,"mm/dd/yyyy hh:mm"))))</f>
        <v/>
      </c>
      <c r="H479" s="25" t="str">
        <f>IF(DATA!$G479&gt;0,TEXT(DATA!G479,"mm/dd/yyyy hh:mm"),"")</f>
        <v/>
      </c>
      <c r="I479" s="21"/>
    </row>
    <row r="480" spans="2:9" ht="23.25" x14ac:dyDescent="0.25">
      <c r="B480" s="25" t="str">
        <f t="shared" si="10"/>
        <v/>
      </c>
      <c r="C480" s="25" t="str">
        <f>IF(NOT(ISBLANK(DATA2!C480)),DATA2!C480,"")</f>
        <v/>
      </c>
      <c r="D480" s="25" t="str">
        <f>IF(NOT(ISBLANK(DATA2!D480)),DATA2!D480,"")</f>
        <v/>
      </c>
      <c r="E480" s="26" t="str">
        <f>IF(ISBLANK(DATA2!E480),"",IF(ISBLANK(DATA!C480),DATA2!E480,"Flag override: " &amp; TEXT(DATA!C480, "mm/dd/yyyy hh:mm") ))</f>
        <v/>
      </c>
      <c r="F480" s="27" t="str">
        <f>IF(ISBLANK(DATA2!F480),"",IF(ISBLANK(DATA!D480),DATA2!F480,"Flag override " &amp; TEXT(DATA!D480, "mm/dd/yyyy hh:mm")))</f>
        <v/>
      </c>
      <c r="G480" s="27" t="str">
        <f>IF(DATA2!G480 = 0, "", IF(ISBLANK(DATA2!G480),"",IF(ISBLANK(DATA!E480),DATA2!G480,"Flag override " &amp; TEXT(DATA!E480,"mm/dd/yyyy hh:mm"))))</f>
        <v/>
      </c>
      <c r="H480" s="25" t="str">
        <f>IF(DATA!$G480&gt;0,TEXT(DATA!G480,"mm/dd/yyyy hh:mm"),"")</f>
        <v/>
      </c>
      <c r="I480" s="21"/>
    </row>
    <row r="481" spans="2:9" ht="23.25" x14ac:dyDescent="0.25">
      <c r="B481" s="25" t="str">
        <f t="shared" si="10"/>
        <v/>
      </c>
      <c r="C481" s="25" t="str">
        <f>IF(NOT(ISBLANK(DATA2!C481)),DATA2!C481,"")</f>
        <v/>
      </c>
      <c r="D481" s="25" t="str">
        <f>IF(NOT(ISBLANK(DATA2!D481)),DATA2!D481,"")</f>
        <v/>
      </c>
      <c r="E481" s="26" t="str">
        <f>IF(ISBLANK(DATA2!E481),"",IF(ISBLANK(DATA!C481),DATA2!E481,"Flag override: " &amp; TEXT(DATA!C481, "mm/dd/yyyy hh:mm") ))</f>
        <v/>
      </c>
      <c r="F481" s="27" t="str">
        <f>IF(ISBLANK(DATA2!F481),"",IF(ISBLANK(DATA!D481),DATA2!F481,"Flag override " &amp; TEXT(DATA!D481, "mm/dd/yyyy hh:mm")))</f>
        <v/>
      </c>
      <c r="G481" s="27" t="str">
        <f>IF(DATA2!G481 = 0, "", IF(ISBLANK(DATA2!G481),"",IF(ISBLANK(DATA!E481),DATA2!G481,"Flag override " &amp; TEXT(DATA!E481,"mm/dd/yyyy hh:mm"))))</f>
        <v/>
      </c>
      <c r="H481" s="25" t="str">
        <f>IF(DATA!$G481&gt;0,TEXT(DATA!G481,"mm/dd/yyyy hh:mm"),"")</f>
        <v/>
      </c>
      <c r="I481" s="21"/>
    </row>
    <row r="482" spans="2:9" ht="23.25" x14ac:dyDescent="0.25">
      <c r="B482" s="25" t="str">
        <f t="shared" si="10"/>
        <v/>
      </c>
      <c r="C482" s="25" t="str">
        <f>IF(NOT(ISBLANK(DATA2!C482)),DATA2!C482,"")</f>
        <v/>
      </c>
      <c r="D482" s="25" t="str">
        <f>IF(NOT(ISBLANK(DATA2!D482)),DATA2!D482,"")</f>
        <v/>
      </c>
      <c r="E482" s="26" t="str">
        <f>IF(ISBLANK(DATA2!E482),"",IF(ISBLANK(DATA!C482),DATA2!E482,"Flag override: " &amp; TEXT(DATA!C482, "mm/dd/yyyy hh:mm") ))</f>
        <v/>
      </c>
      <c r="F482" s="27" t="str">
        <f>IF(ISBLANK(DATA2!F482),"",IF(ISBLANK(DATA!D482),DATA2!F482,"Flag override " &amp; TEXT(DATA!D482, "mm/dd/yyyy hh:mm")))</f>
        <v/>
      </c>
      <c r="G482" s="27" t="str">
        <f>IF(DATA2!G482 = 0, "", IF(ISBLANK(DATA2!G482),"",IF(ISBLANK(DATA!E482),DATA2!G482,"Flag override " &amp; TEXT(DATA!E482,"mm/dd/yyyy hh:mm"))))</f>
        <v/>
      </c>
      <c r="H482" s="25" t="str">
        <f>IF(DATA!$G482&gt;0,TEXT(DATA!G482,"mm/dd/yyyy hh:mm"),"")</f>
        <v/>
      </c>
      <c r="I482" s="21"/>
    </row>
    <row r="483" spans="2:9" ht="23.25" x14ac:dyDescent="0.25">
      <c r="B483" s="25" t="str">
        <f t="shared" si="10"/>
        <v/>
      </c>
      <c r="C483" s="25" t="str">
        <f>IF(NOT(ISBLANK(DATA2!C483)),DATA2!C483,"")</f>
        <v/>
      </c>
      <c r="D483" s="25" t="str">
        <f>IF(NOT(ISBLANK(DATA2!D483)),DATA2!D483,"")</f>
        <v/>
      </c>
      <c r="E483" s="26" t="str">
        <f>IF(ISBLANK(DATA2!E483),"",IF(ISBLANK(DATA!C483),DATA2!E483,"Flag override: " &amp; TEXT(DATA!C483, "mm/dd/yyyy hh:mm") ))</f>
        <v/>
      </c>
      <c r="F483" s="27" t="str">
        <f>IF(ISBLANK(DATA2!F483),"",IF(ISBLANK(DATA!D483),DATA2!F483,"Flag override " &amp; TEXT(DATA!D483, "mm/dd/yyyy hh:mm")))</f>
        <v/>
      </c>
      <c r="G483" s="27" t="str">
        <f>IF(DATA2!G483 = 0, "", IF(ISBLANK(DATA2!G483),"",IF(ISBLANK(DATA!E483),DATA2!G483,"Flag override " &amp; TEXT(DATA!E483,"mm/dd/yyyy hh:mm"))))</f>
        <v/>
      </c>
      <c r="H483" s="25" t="str">
        <f>IF(DATA!$G483&gt;0,TEXT(DATA!G483,"mm/dd/yyyy hh:mm"),"")</f>
        <v/>
      </c>
      <c r="I483" s="21"/>
    </row>
    <row r="484" spans="2:9" ht="23.25" x14ac:dyDescent="0.25">
      <c r="B484" s="25" t="str">
        <f t="shared" si="10"/>
        <v/>
      </c>
      <c r="C484" s="25" t="str">
        <f>IF(NOT(ISBLANK(DATA2!C484)),DATA2!C484,"")</f>
        <v/>
      </c>
      <c r="D484" s="25" t="str">
        <f>IF(NOT(ISBLANK(DATA2!D484)),DATA2!D484,"")</f>
        <v/>
      </c>
      <c r="E484" s="26" t="str">
        <f>IF(ISBLANK(DATA2!E484),"",IF(ISBLANK(DATA!C484),DATA2!E484,"Flag override: " &amp; TEXT(DATA!C484, "mm/dd/yyyy hh:mm") ))</f>
        <v/>
      </c>
      <c r="F484" s="27" t="str">
        <f>IF(ISBLANK(DATA2!F484),"",IF(ISBLANK(DATA!D484),DATA2!F484,"Flag override " &amp; TEXT(DATA!D484, "mm/dd/yyyy hh:mm")))</f>
        <v/>
      </c>
      <c r="G484" s="27" t="str">
        <f>IF(DATA2!G484 = 0, "", IF(ISBLANK(DATA2!G484),"",IF(ISBLANK(DATA!E484),DATA2!G484,"Flag override " &amp; TEXT(DATA!E484,"mm/dd/yyyy hh:mm"))))</f>
        <v/>
      </c>
      <c r="H484" s="25" t="str">
        <f>IF(DATA!$G484&gt;0,TEXT(DATA!G484,"mm/dd/yyyy hh:mm"),"")</f>
        <v/>
      </c>
      <c r="I484" s="21"/>
    </row>
    <row r="485" spans="2:9" ht="23.25" x14ac:dyDescent="0.25">
      <c r="B485" s="25" t="str">
        <f t="shared" si="10"/>
        <v/>
      </c>
      <c r="C485" s="25" t="str">
        <f>IF(NOT(ISBLANK(DATA2!C485)),DATA2!C485,"")</f>
        <v/>
      </c>
      <c r="D485" s="25" t="str">
        <f>IF(NOT(ISBLANK(DATA2!D485)),DATA2!D485,"")</f>
        <v/>
      </c>
      <c r="E485" s="26" t="str">
        <f>IF(ISBLANK(DATA2!E485),"",IF(ISBLANK(DATA!C485),DATA2!E485,"Flag override: " &amp; TEXT(DATA!C485, "mm/dd/yyyy hh:mm") ))</f>
        <v/>
      </c>
      <c r="F485" s="27" t="str">
        <f>IF(ISBLANK(DATA2!F485),"",IF(ISBLANK(DATA!D485),DATA2!F485,"Flag override " &amp; TEXT(DATA!D485, "mm/dd/yyyy hh:mm")))</f>
        <v/>
      </c>
      <c r="G485" s="27" t="str">
        <f>IF(DATA2!G485 = 0, "", IF(ISBLANK(DATA2!G485),"",IF(ISBLANK(DATA!E485),DATA2!G485,"Flag override " &amp; TEXT(DATA!E485,"mm/dd/yyyy hh:mm"))))</f>
        <v/>
      </c>
      <c r="H485" s="25" t="str">
        <f>IF(DATA!$G485&gt;0,TEXT(DATA!G485,"mm/dd/yyyy hh:mm"),"")</f>
        <v/>
      </c>
      <c r="I485" s="21"/>
    </row>
    <row r="486" spans="2:9" ht="23.25" x14ac:dyDescent="0.25">
      <c r="B486" s="25" t="str">
        <f t="shared" si="10"/>
        <v/>
      </c>
      <c r="C486" s="25" t="str">
        <f>IF(NOT(ISBLANK(DATA2!C486)),DATA2!C486,"")</f>
        <v/>
      </c>
      <c r="D486" s="25" t="str">
        <f>IF(NOT(ISBLANK(DATA2!D486)),DATA2!D486,"")</f>
        <v/>
      </c>
      <c r="E486" s="26" t="str">
        <f>IF(ISBLANK(DATA2!E486),"",IF(ISBLANK(DATA!C486),DATA2!E486,"Flag override: " &amp; TEXT(DATA!C486, "mm/dd/yyyy hh:mm") ))</f>
        <v/>
      </c>
      <c r="F486" s="27" t="str">
        <f>IF(ISBLANK(DATA2!F486),"",IF(ISBLANK(DATA!D486),DATA2!F486,"Flag override " &amp; TEXT(DATA!D486, "mm/dd/yyyy hh:mm")))</f>
        <v/>
      </c>
      <c r="G486" s="27" t="str">
        <f>IF(DATA2!G486 = 0, "", IF(ISBLANK(DATA2!G486),"",IF(ISBLANK(DATA!E486),DATA2!G486,"Flag override " &amp; TEXT(DATA!E486,"mm/dd/yyyy hh:mm"))))</f>
        <v/>
      </c>
      <c r="H486" s="25" t="str">
        <f>IF(DATA!$G486&gt;0,TEXT(DATA!G486,"mm/dd/yyyy hh:mm"),"")</f>
        <v/>
      </c>
      <c r="I486" s="21"/>
    </row>
    <row r="487" spans="2:9" ht="23.25" x14ac:dyDescent="0.25">
      <c r="B487" s="25" t="str">
        <f t="shared" si="10"/>
        <v/>
      </c>
      <c r="C487" s="25" t="str">
        <f>IF(NOT(ISBLANK(DATA2!C487)),DATA2!C487,"")</f>
        <v/>
      </c>
      <c r="D487" s="25" t="str">
        <f>IF(NOT(ISBLANK(DATA2!D487)),DATA2!D487,"")</f>
        <v/>
      </c>
      <c r="E487" s="26" t="str">
        <f>IF(ISBLANK(DATA2!E487),"",IF(ISBLANK(DATA!C487),DATA2!E487,"Flag override: " &amp; TEXT(DATA!C487, "mm/dd/yyyy hh:mm") ))</f>
        <v/>
      </c>
      <c r="F487" s="27" t="str">
        <f>IF(ISBLANK(DATA2!F487),"",IF(ISBLANK(DATA!D487),DATA2!F487,"Flag override " &amp; TEXT(DATA!D487, "mm/dd/yyyy hh:mm")))</f>
        <v/>
      </c>
      <c r="G487" s="27" t="str">
        <f>IF(DATA2!G487 = 0, "", IF(ISBLANK(DATA2!G487),"",IF(ISBLANK(DATA!E487),DATA2!G487,"Flag override " &amp; TEXT(DATA!E487,"mm/dd/yyyy hh:mm"))))</f>
        <v/>
      </c>
      <c r="H487" s="25" t="str">
        <f>IF(DATA!$G487&gt;0,TEXT(DATA!G487,"mm/dd/yyyy hh:mm"),"")</f>
        <v/>
      </c>
      <c r="I487" s="21"/>
    </row>
    <row r="488" spans="2:9" ht="23.25" x14ac:dyDescent="0.25">
      <c r="B488" s="25" t="str">
        <f t="shared" si="10"/>
        <v/>
      </c>
      <c r="C488" s="25" t="str">
        <f>IF(NOT(ISBLANK(DATA2!C488)),DATA2!C488,"")</f>
        <v/>
      </c>
      <c r="D488" s="25" t="str">
        <f>IF(NOT(ISBLANK(DATA2!D488)),DATA2!D488,"")</f>
        <v/>
      </c>
      <c r="E488" s="26" t="str">
        <f>IF(ISBLANK(DATA2!E488),"",IF(ISBLANK(DATA!C488),DATA2!E488,"Flag override: " &amp; TEXT(DATA!C488, "mm/dd/yyyy hh:mm") ))</f>
        <v/>
      </c>
      <c r="F488" s="27" t="str">
        <f>IF(ISBLANK(DATA2!F488),"",IF(ISBLANK(DATA!D488),DATA2!F488,"Flag override " &amp; TEXT(DATA!D488, "mm/dd/yyyy hh:mm")))</f>
        <v/>
      </c>
      <c r="G488" s="27" t="str">
        <f>IF(DATA2!G488 = 0, "", IF(ISBLANK(DATA2!G488),"",IF(ISBLANK(DATA!E488),DATA2!G488,"Flag override " &amp; TEXT(DATA!E488,"mm/dd/yyyy hh:mm"))))</f>
        <v/>
      </c>
      <c r="H488" s="25" t="str">
        <f>IF(DATA!$G488&gt;0,TEXT(DATA!G488,"mm/dd/yyyy hh:mm"),"")</f>
        <v/>
      </c>
      <c r="I488" s="21"/>
    </row>
    <row r="489" spans="2:9" ht="23.25" x14ac:dyDescent="0.25">
      <c r="B489" s="25" t="str">
        <f t="shared" si="10"/>
        <v/>
      </c>
      <c r="C489" s="25" t="str">
        <f>IF(NOT(ISBLANK(DATA2!C489)),DATA2!C489,"")</f>
        <v/>
      </c>
      <c r="D489" s="25" t="str">
        <f>IF(NOT(ISBLANK(DATA2!D489)),DATA2!D489,"")</f>
        <v/>
      </c>
      <c r="E489" s="26" t="str">
        <f>IF(ISBLANK(DATA2!E489),"",IF(ISBLANK(DATA!C489),DATA2!E489,"Flag override: " &amp; TEXT(DATA!C489, "mm/dd/yyyy hh:mm") ))</f>
        <v/>
      </c>
      <c r="F489" s="27" t="str">
        <f>IF(ISBLANK(DATA2!F489),"",IF(ISBLANK(DATA!D489),DATA2!F489,"Flag override " &amp; TEXT(DATA!D489, "mm/dd/yyyy hh:mm")))</f>
        <v/>
      </c>
      <c r="G489" s="27" t="str">
        <f>IF(DATA2!G489 = 0, "", IF(ISBLANK(DATA2!G489),"",IF(ISBLANK(DATA!E489),DATA2!G489,"Flag override " &amp; TEXT(DATA!E489,"mm/dd/yyyy hh:mm"))))</f>
        <v/>
      </c>
      <c r="H489" s="25" t="str">
        <f>IF(DATA!$G489&gt;0,TEXT(DATA!G489,"mm/dd/yyyy hh:mm"),"")</f>
        <v/>
      </c>
      <c r="I489" s="21"/>
    </row>
    <row r="490" spans="2:9" ht="23.25" x14ac:dyDescent="0.25">
      <c r="B490" s="25" t="str">
        <f t="shared" si="10"/>
        <v/>
      </c>
      <c r="C490" s="25" t="str">
        <f>IF(NOT(ISBLANK(DATA2!C490)),DATA2!C490,"")</f>
        <v/>
      </c>
      <c r="D490" s="25" t="str">
        <f>IF(NOT(ISBLANK(DATA2!D490)),DATA2!D490,"")</f>
        <v/>
      </c>
      <c r="E490" s="26" t="str">
        <f>IF(ISBLANK(DATA2!E490),"",IF(ISBLANK(DATA!C490),DATA2!E490,"Flag override: " &amp; TEXT(DATA!C490, "mm/dd/yyyy hh:mm") ))</f>
        <v/>
      </c>
      <c r="F490" s="27" t="str">
        <f>IF(ISBLANK(DATA2!F490),"",IF(ISBLANK(DATA!D490),DATA2!F490,"Flag override " &amp; TEXT(DATA!D490, "mm/dd/yyyy hh:mm")))</f>
        <v/>
      </c>
      <c r="G490" s="27" t="str">
        <f>IF(DATA2!G490 = 0, "", IF(ISBLANK(DATA2!G490),"",IF(ISBLANK(DATA!E490),DATA2!G490,"Flag override " &amp; TEXT(DATA!E490,"mm/dd/yyyy hh:mm"))))</f>
        <v/>
      </c>
      <c r="H490" s="25" t="str">
        <f>IF(DATA!$G490&gt;0,TEXT(DATA!G490,"mm/dd/yyyy hh:mm"),"")</f>
        <v/>
      </c>
      <c r="I490" s="21"/>
    </row>
    <row r="491" spans="2:9" ht="23.25" x14ac:dyDescent="0.25">
      <c r="B491" s="25" t="str">
        <f t="shared" si="10"/>
        <v/>
      </c>
      <c r="C491" s="25" t="str">
        <f>IF(NOT(ISBLANK(DATA2!C491)),DATA2!C491,"")</f>
        <v/>
      </c>
      <c r="D491" s="25" t="str">
        <f>IF(NOT(ISBLANK(DATA2!D491)),DATA2!D491,"")</f>
        <v/>
      </c>
      <c r="E491" s="26" t="str">
        <f>IF(ISBLANK(DATA2!E491),"",IF(ISBLANK(DATA!C491),DATA2!E491,"Flag override: " &amp; TEXT(DATA!C491, "mm/dd/yyyy hh:mm") ))</f>
        <v/>
      </c>
      <c r="F491" s="27" t="str">
        <f>IF(ISBLANK(DATA2!F491),"",IF(ISBLANK(DATA!D491),DATA2!F491,"Flag override " &amp; TEXT(DATA!D491, "mm/dd/yyyy hh:mm")))</f>
        <v/>
      </c>
      <c r="G491" s="27" t="str">
        <f>IF(DATA2!G491 = 0, "", IF(ISBLANK(DATA2!G491),"",IF(ISBLANK(DATA!E491),DATA2!G491,"Flag override " &amp; TEXT(DATA!E491,"mm/dd/yyyy hh:mm"))))</f>
        <v/>
      </c>
      <c r="H491" s="25" t="str">
        <f>IF(DATA!$G491&gt;0,TEXT(DATA!G491,"mm/dd/yyyy hh:mm"),"")</f>
        <v/>
      </c>
      <c r="I491" s="21"/>
    </row>
    <row r="492" spans="2:9" ht="23.25" x14ac:dyDescent="0.25">
      <c r="B492" s="25" t="str">
        <f t="shared" si="10"/>
        <v/>
      </c>
      <c r="C492" s="25" t="str">
        <f>IF(NOT(ISBLANK(DATA2!C492)),DATA2!C492,"")</f>
        <v/>
      </c>
      <c r="D492" s="25" t="str">
        <f>IF(NOT(ISBLANK(DATA2!D492)),DATA2!D492,"")</f>
        <v/>
      </c>
      <c r="E492" s="26" t="str">
        <f>IF(ISBLANK(DATA2!E492),"",IF(ISBLANK(DATA!C492),DATA2!E492,"Flag override: " &amp; TEXT(DATA!C492, "mm/dd/yyyy hh:mm") ))</f>
        <v/>
      </c>
      <c r="F492" s="27" t="str">
        <f>IF(ISBLANK(DATA2!F492),"",IF(ISBLANK(DATA!D492),DATA2!F492,"Flag override " &amp; TEXT(DATA!D492, "mm/dd/yyyy hh:mm")))</f>
        <v/>
      </c>
      <c r="G492" s="27" t="str">
        <f>IF(DATA2!G492 = 0, "", IF(ISBLANK(DATA2!G492),"",IF(ISBLANK(DATA!E492),DATA2!G492,"Flag override " &amp; TEXT(DATA!E492,"mm/dd/yyyy hh:mm"))))</f>
        <v/>
      </c>
      <c r="H492" s="25" t="str">
        <f>IF(DATA!$G492&gt;0,TEXT(DATA!G492,"mm/dd/yyyy hh:mm"),"")</f>
        <v/>
      </c>
      <c r="I492" s="21"/>
    </row>
    <row r="493" spans="2:9" ht="23.25" x14ac:dyDescent="0.25">
      <c r="B493" s="25" t="str">
        <f t="shared" si="10"/>
        <v/>
      </c>
      <c r="C493" s="25" t="str">
        <f>IF(NOT(ISBLANK(DATA2!C493)),DATA2!C493,"")</f>
        <v/>
      </c>
      <c r="D493" s="25" t="str">
        <f>IF(NOT(ISBLANK(DATA2!D493)),DATA2!D493,"")</f>
        <v/>
      </c>
      <c r="E493" s="26" t="str">
        <f>IF(ISBLANK(DATA2!E493),"",IF(ISBLANK(DATA!C493),DATA2!E493,"Flag override: " &amp; TEXT(DATA!C493, "mm/dd/yyyy hh:mm") ))</f>
        <v/>
      </c>
      <c r="F493" s="27" t="str">
        <f>IF(ISBLANK(DATA2!F493),"",IF(ISBLANK(DATA!D493),DATA2!F493,"Flag override " &amp; TEXT(DATA!D493, "mm/dd/yyyy hh:mm")))</f>
        <v/>
      </c>
      <c r="G493" s="27" t="str">
        <f>IF(DATA2!G493 = 0, "", IF(ISBLANK(DATA2!G493),"",IF(ISBLANK(DATA!E493),DATA2!G493,"Flag override " &amp; TEXT(DATA!E493,"mm/dd/yyyy hh:mm"))))</f>
        <v/>
      </c>
      <c r="H493" s="25" t="str">
        <f>IF(DATA!$G493&gt;0,TEXT(DATA!G493,"mm/dd/yyyy hh:mm"),"")</f>
        <v/>
      </c>
      <c r="I493" s="21"/>
    </row>
    <row r="494" spans="2:9" ht="23.25" x14ac:dyDescent="0.25">
      <c r="B494" s="25" t="str">
        <f t="shared" si="10"/>
        <v/>
      </c>
      <c r="C494" s="25" t="str">
        <f>IF(NOT(ISBLANK(DATA2!C494)),DATA2!C494,"")</f>
        <v/>
      </c>
      <c r="D494" s="25" t="str">
        <f>IF(NOT(ISBLANK(DATA2!D494)),DATA2!D494,"")</f>
        <v/>
      </c>
      <c r="E494" s="26" t="str">
        <f>IF(ISBLANK(DATA2!E494),"",IF(ISBLANK(DATA!C494),DATA2!E494,"Flag override: " &amp; TEXT(DATA!C494, "mm/dd/yyyy hh:mm") ))</f>
        <v/>
      </c>
      <c r="F494" s="27" t="str">
        <f>IF(ISBLANK(DATA2!F494),"",IF(ISBLANK(DATA!D494),DATA2!F494,"Flag override " &amp; TEXT(DATA!D494, "mm/dd/yyyy hh:mm")))</f>
        <v/>
      </c>
      <c r="G494" s="27" t="str">
        <f>IF(DATA2!G494 = 0, "", IF(ISBLANK(DATA2!G494),"",IF(ISBLANK(DATA!E494),DATA2!G494,"Flag override " &amp; TEXT(DATA!E494,"mm/dd/yyyy hh:mm"))))</f>
        <v/>
      </c>
      <c r="H494" s="25" t="str">
        <f>IF(DATA!$G494&gt;0,TEXT(DATA!G494,"mm/dd/yyyy hh:mm"),"")</f>
        <v/>
      </c>
      <c r="I494" s="21"/>
    </row>
    <row r="495" spans="2:9" ht="23.25" x14ac:dyDescent="0.25">
      <c r="B495" s="25" t="str">
        <f t="shared" si="10"/>
        <v/>
      </c>
      <c r="C495" s="25" t="str">
        <f>IF(NOT(ISBLANK(DATA2!C495)),DATA2!C495,"")</f>
        <v/>
      </c>
      <c r="D495" s="25" t="str">
        <f>IF(NOT(ISBLANK(DATA2!D495)),DATA2!D495,"")</f>
        <v/>
      </c>
      <c r="E495" s="26" t="str">
        <f>IF(ISBLANK(DATA2!E495),"",IF(ISBLANK(DATA!C495),DATA2!E495,"Flag override: " &amp; TEXT(DATA!C495, "mm/dd/yyyy hh:mm") ))</f>
        <v/>
      </c>
      <c r="F495" s="27" t="str">
        <f>IF(ISBLANK(DATA2!F495),"",IF(ISBLANK(DATA!D495),DATA2!F495,"Flag override " &amp; TEXT(DATA!D495, "mm/dd/yyyy hh:mm")))</f>
        <v/>
      </c>
      <c r="G495" s="27" t="str">
        <f>IF(DATA2!G495 = 0, "", IF(ISBLANK(DATA2!G495),"",IF(ISBLANK(DATA!E495),DATA2!G495,"Flag override " &amp; TEXT(DATA!E495,"mm/dd/yyyy hh:mm"))))</f>
        <v/>
      </c>
      <c r="H495" s="25" t="str">
        <f>IF(DATA!$G495&gt;0,TEXT(DATA!G495,"mm/dd/yyyy hh:mm"),"")</f>
        <v/>
      </c>
      <c r="I495" s="21"/>
    </row>
    <row r="496" spans="2:9" ht="23.25" x14ac:dyDescent="0.25">
      <c r="B496" s="25" t="str">
        <f t="shared" si="10"/>
        <v/>
      </c>
      <c r="C496" s="25" t="str">
        <f>IF(NOT(ISBLANK(DATA2!C496)),DATA2!C496,"")</f>
        <v/>
      </c>
      <c r="D496" s="25" t="str">
        <f>IF(NOT(ISBLANK(DATA2!D496)),DATA2!D496,"")</f>
        <v/>
      </c>
      <c r="E496" s="26" t="str">
        <f>IF(ISBLANK(DATA2!E496),"",IF(ISBLANK(DATA!C496),DATA2!E496,"Flag override: " &amp; TEXT(DATA!C496, "mm/dd/yyyy hh:mm") ))</f>
        <v/>
      </c>
      <c r="F496" s="27" t="str">
        <f>IF(ISBLANK(DATA2!F496),"",IF(ISBLANK(DATA!D496),DATA2!F496,"Flag override " &amp; TEXT(DATA!D496, "mm/dd/yyyy hh:mm")))</f>
        <v/>
      </c>
      <c r="G496" s="27" t="str">
        <f>IF(DATA2!G496 = 0, "", IF(ISBLANK(DATA2!G496),"",IF(ISBLANK(DATA!E496),DATA2!G496,"Flag override " &amp; TEXT(DATA!E496,"mm/dd/yyyy hh:mm"))))</f>
        <v/>
      </c>
      <c r="H496" s="25" t="str">
        <f>IF(DATA!$G496&gt;0,TEXT(DATA!G496,"mm/dd/yyyy hh:mm"),"")</f>
        <v/>
      </c>
      <c r="I496" s="21"/>
    </row>
    <row r="497" spans="2:9" ht="23.25" x14ac:dyDescent="0.25">
      <c r="B497" s="25" t="str">
        <f t="shared" si="10"/>
        <v/>
      </c>
      <c r="C497" s="25" t="str">
        <f>IF(NOT(ISBLANK(DATA2!C497)),DATA2!C497,"")</f>
        <v/>
      </c>
      <c r="D497" s="25" t="str">
        <f>IF(NOT(ISBLANK(DATA2!D497)),DATA2!D497,"")</f>
        <v/>
      </c>
      <c r="E497" s="26" t="str">
        <f>IF(ISBLANK(DATA2!E497),"",IF(ISBLANK(DATA!C497),DATA2!E497,"Flag override: " &amp; TEXT(DATA!C497, "mm/dd/yyyy hh:mm") ))</f>
        <v/>
      </c>
      <c r="F497" s="27" t="str">
        <f>IF(ISBLANK(DATA2!F497),"",IF(ISBLANK(DATA!D497),DATA2!F497,"Flag override " &amp; TEXT(DATA!D497, "mm/dd/yyyy hh:mm")))</f>
        <v/>
      </c>
      <c r="G497" s="27" t="str">
        <f>IF(DATA2!G497 = 0, "", IF(ISBLANK(DATA2!G497),"",IF(ISBLANK(DATA!E497),DATA2!G497,"Flag override " &amp; TEXT(DATA!E497,"mm/dd/yyyy hh:mm"))))</f>
        <v/>
      </c>
      <c r="H497" s="25" t="str">
        <f>IF(DATA!$G497&gt;0,TEXT(DATA!G497,"mm/dd/yyyy hh:mm"),"")</f>
        <v/>
      </c>
      <c r="I497" s="21"/>
    </row>
    <row r="498" spans="2:9" ht="23.25" x14ac:dyDescent="0.25">
      <c r="B498" s="25" t="str">
        <f t="shared" si="10"/>
        <v/>
      </c>
      <c r="C498" s="25" t="str">
        <f>IF(NOT(ISBLANK(DATA2!C498)),DATA2!C498,"")</f>
        <v/>
      </c>
      <c r="D498" s="25" t="str">
        <f>IF(NOT(ISBLANK(DATA2!D498)),DATA2!D498,"")</f>
        <v/>
      </c>
      <c r="E498" s="26" t="str">
        <f>IF(ISBLANK(DATA2!E498),"",IF(ISBLANK(DATA!C498),DATA2!E498,"Flag override: " &amp; TEXT(DATA!C498, "mm/dd/yyyy hh:mm") ))</f>
        <v/>
      </c>
      <c r="F498" s="27" t="str">
        <f>IF(ISBLANK(DATA2!F498),"",IF(ISBLANK(DATA!D498),DATA2!F498,"Flag override " &amp; TEXT(DATA!D498, "mm/dd/yyyy hh:mm")))</f>
        <v/>
      </c>
      <c r="G498" s="27" t="str">
        <f>IF(DATA2!G498 = 0, "", IF(ISBLANK(DATA2!G498),"",IF(ISBLANK(DATA!E498),DATA2!G498,"Flag override " &amp; TEXT(DATA!E498,"mm/dd/yyyy hh:mm"))))</f>
        <v/>
      </c>
      <c r="H498" s="25" t="str">
        <f>IF(DATA!$G498&gt;0,TEXT(DATA!G498,"mm/dd/yyyy hh:mm"),"")</f>
        <v/>
      </c>
      <c r="I498" s="21"/>
    </row>
    <row r="499" spans="2:9" ht="23.25" x14ac:dyDescent="0.25">
      <c r="B499" s="25" t="str">
        <f t="shared" si="10"/>
        <v/>
      </c>
      <c r="C499" s="25" t="str">
        <f>IF(NOT(ISBLANK(DATA2!C499)),DATA2!C499,"")</f>
        <v/>
      </c>
      <c r="D499" s="25" t="str">
        <f>IF(NOT(ISBLANK(DATA2!D499)),DATA2!D499,"")</f>
        <v/>
      </c>
      <c r="E499" s="26" t="str">
        <f>IF(ISBLANK(DATA2!E499),"",IF(ISBLANK(DATA!C499),DATA2!E499,"Flag override: " &amp; TEXT(DATA!C499, "mm/dd/yyyy hh:mm") ))</f>
        <v/>
      </c>
      <c r="F499" s="27" t="str">
        <f>IF(ISBLANK(DATA2!F499),"",IF(ISBLANK(DATA!D499),DATA2!F499,"Flag override " &amp; TEXT(DATA!D499, "mm/dd/yyyy hh:mm")))</f>
        <v/>
      </c>
      <c r="G499" s="27" t="str">
        <f>IF(DATA2!G499 = 0, "", IF(ISBLANK(DATA2!G499),"",IF(ISBLANK(DATA!E499),DATA2!G499,"Flag override " &amp; TEXT(DATA!E499,"mm/dd/yyyy hh:mm"))))</f>
        <v/>
      </c>
      <c r="H499" s="25" t="str">
        <f>IF(DATA!$G499&gt;0,TEXT(DATA!G499,"mm/dd/yyyy hh:mm"),"")</f>
        <v/>
      </c>
      <c r="I499" s="21"/>
    </row>
    <row r="500" spans="2:9" ht="23.25" x14ac:dyDescent="0.25">
      <c r="B500" s="25" t="str">
        <f t="shared" si="10"/>
        <v/>
      </c>
      <c r="C500" s="25" t="str">
        <f>IF(NOT(ISBLANK(DATA2!C500)),DATA2!C500,"")</f>
        <v/>
      </c>
      <c r="D500" s="25" t="str">
        <f>IF(NOT(ISBLANK(DATA2!D500)),DATA2!D500,"")</f>
        <v/>
      </c>
      <c r="E500" s="26" t="str">
        <f>IF(ISBLANK(DATA2!E500),"",IF(ISBLANK(DATA!C500),DATA2!E500,"Flag override: " &amp; TEXT(DATA!C500, "mm/dd/yyyy hh:mm") ))</f>
        <v/>
      </c>
      <c r="F500" s="27" t="str">
        <f>IF(ISBLANK(DATA2!F500),"",IF(ISBLANK(DATA!D500),DATA2!F500,"Flag override " &amp; TEXT(DATA!D500, "mm/dd/yyyy hh:mm")))</f>
        <v/>
      </c>
      <c r="G500" s="27" t="str">
        <f>IF(DATA2!G500 = 0, "", IF(ISBLANK(DATA2!G500),"",IF(ISBLANK(DATA!E500),DATA2!G500,"Flag override " &amp; TEXT(DATA!E500,"mm/dd/yyyy hh:mm"))))</f>
        <v/>
      </c>
      <c r="H500" s="25" t="str">
        <f>IF(DATA!$G500&gt;0,TEXT(DATA!G500,"mm/dd/yyyy hh:mm"),"")</f>
        <v/>
      </c>
      <c r="I500" s="21"/>
    </row>
    <row r="501" spans="2:9" ht="23.25" x14ac:dyDescent="0.25">
      <c r="B501" s="25" t="str">
        <f t="shared" si="10"/>
        <v/>
      </c>
      <c r="C501" s="25" t="str">
        <f>IF(NOT(ISBLANK(DATA2!C501)),DATA2!C501,"")</f>
        <v/>
      </c>
      <c r="D501" s="25" t="str">
        <f>IF(NOT(ISBLANK(DATA2!D501)),DATA2!D501,"")</f>
        <v/>
      </c>
      <c r="E501" s="26" t="str">
        <f>IF(ISBLANK(DATA2!E501),"",IF(ISBLANK(DATA!C501),DATA2!E501,"Flag override: " &amp; TEXT(DATA!C501, "mm/dd/yyyy hh:mm") ))</f>
        <v/>
      </c>
      <c r="F501" s="27" t="str">
        <f>IF(ISBLANK(DATA2!F501),"",IF(ISBLANK(DATA!D501),DATA2!F501,"Flag override " &amp; TEXT(DATA!D501, "mm/dd/yyyy hh:mm")))</f>
        <v/>
      </c>
      <c r="G501" s="27" t="str">
        <f>IF(DATA2!G501 = 0, "", IF(ISBLANK(DATA2!G501),"",IF(ISBLANK(DATA!E501),DATA2!G501,"Flag override " &amp; TEXT(DATA!E501,"mm/dd/yyyy hh:mm"))))</f>
        <v/>
      </c>
      <c r="H501" s="25" t="str">
        <f>IF(DATA!$G501&gt;0,TEXT(DATA!G501,"mm/dd/yyyy hh:mm"),"")</f>
        <v/>
      </c>
      <c r="I501" s="21"/>
    </row>
    <row r="502" spans="2:9" ht="23.25" x14ac:dyDescent="0.25">
      <c r="B502" s="25" t="str">
        <f t="shared" si="10"/>
        <v/>
      </c>
      <c r="C502" s="25" t="str">
        <f>IF(NOT(ISBLANK(DATA2!C502)),DATA2!C502,"")</f>
        <v/>
      </c>
      <c r="D502" s="25" t="str">
        <f>IF(NOT(ISBLANK(DATA2!D502)),DATA2!D502,"")</f>
        <v/>
      </c>
      <c r="E502" s="26" t="str">
        <f>IF(ISBLANK(DATA2!E502),"",IF(ISBLANK(DATA!C502),DATA2!E502,"Flag override: " &amp; TEXT(DATA!C502, "mm/dd/yyyy hh:mm") ))</f>
        <v/>
      </c>
      <c r="F502" s="27" t="str">
        <f>IF(ISBLANK(DATA2!F502),"",IF(ISBLANK(DATA!D502),DATA2!F502,"Flag override " &amp; TEXT(DATA!D502, "mm/dd/yyyy hh:mm")))</f>
        <v/>
      </c>
      <c r="G502" s="27" t="str">
        <f>IF(DATA2!G502 = 0, "", IF(ISBLANK(DATA2!G502),"",IF(ISBLANK(DATA!E502),DATA2!G502,"Flag override " &amp; TEXT(DATA!E502,"mm/dd/yyyy hh:mm"))))</f>
        <v/>
      </c>
      <c r="H502" s="25" t="str">
        <f>IF(DATA!$G502&gt;0,TEXT(DATA!G502,"mm/dd/yyyy hh:mm"),"")</f>
        <v/>
      </c>
      <c r="I502" s="21"/>
    </row>
    <row r="503" spans="2:9" ht="23.25" x14ac:dyDescent="0.25">
      <c r="B503" s="25" t="str">
        <f t="shared" si="10"/>
        <v/>
      </c>
      <c r="C503" s="25" t="str">
        <f>IF(NOT(ISBLANK(DATA2!C503)),DATA2!C503,"")</f>
        <v/>
      </c>
      <c r="D503" s="25" t="str">
        <f>IF(NOT(ISBLANK(DATA2!D503)),DATA2!D503,"")</f>
        <v/>
      </c>
      <c r="E503" s="26" t="str">
        <f>IF(ISBLANK(DATA2!E503),"",IF(ISBLANK(DATA!C503),DATA2!E503,"Flag override: " &amp; TEXT(DATA!C503, "mm/dd/yyyy hh:mm") ))</f>
        <v/>
      </c>
      <c r="F503" s="27" t="str">
        <f>IF(ISBLANK(DATA2!F503),"",IF(ISBLANK(DATA!D503),DATA2!F503,"Flag override " &amp; TEXT(DATA!D503, "mm/dd/yyyy hh:mm")))</f>
        <v/>
      </c>
      <c r="G503" s="27" t="str">
        <f>IF(DATA2!G503 = 0, "", IF(ISBLANK(DATA2!G503),"",IF(ISBLANK(DATA!E503),DATA2!G503,"Flag override " &amp; TEXT(DATA!E503,"mm/dd/yyyy hh:mm"))))</f>
        <v/>
      </c>
      <c r="H503" s="25" t="str">
        <f>IF(DATA!$G503&gt;0,TEXT(DATA!G503,"mm/dd/yyyy hh:mm"),"")</f>
        <v/>
      </c>
      <c r="I503" s="21"/>
    </row>
    <row r="504" spans="2:9" ht="23.25" x14ac:dyDescent="0.25">
      <c r="B504" s="25" t="str">
        <f t="shared" si="10"/>
        <v/>
      </c>
      <c r="C504" s="25" t="str">
        <f>IF(NOT(ISBLANK(DATA2!C504)),DATA2!C504,"")</f>
        <v/>
      </c>
      <c r="D504" s="25" t="str">
        <f>IF(NOT(ISBLANK(DATA2!D504)),DATA2!D504,"")</f>
        <v/>
      </c>
      <c r="E504" s="26" t="str">
        <f>IF(ISBLANK(DATA2!E504),"",IF(ISBLANK(DATA!C504),DATA2!E504,"Flag override: " &amp; TEXT(DATA!C504, "mm/dd/yyyy hh:mm") ))</f>
        <v/>
      </c>
      <c r="F504" s="27" t="str">
        <f>IF(ISBLANK(DATA2!F504),"",IF(ISBLANK(DATA!D504),DATA2!F504,"Flag override " &amp; TEXT(DATA!D504, "mm/dd/yyyy hh:mm")))</f>
        <v/>
      </c>
      <c r="G504" s="27" t="str">
        <f>IF(DATA2!G504 = 0, "", IF(ISBLANK(DATA2!G504),"",IF(ISBLANK(DATA!E504),DATA2!G504,"Flag override " &amp; TEXT(DATA!E504,"mm/dd/yyyy hh:mm"))))</f>
        <v/>
      </c>
      <c r="H504" s="25" t="str">
        <f>IF(DATA!$G504&gt;0,TEXT(DATA!G504,"mm/dd/yyyy hh:mm"),"")</f>
        <v/>
      </c>
      <c r="I504" s="21"/>
    </row>
    <row r="505" spans="2:9" ht="23.25" x14ac:dyDescent="0.25">
      <c r="B505" s="25" t="str">
        <f t="shared" si="10"/>
        <v/>
      </c>
      <c r="C505" s="25" t="str">
        <f>IF(NOT(ISBLANK(DATA2!C505)),DATA2!C505,"")</f>
        <v/>
      </c>
      <c r="D505" s="25" t="str">
        <f>IF(NOT(ISBLANK(DATA2!D505)),DATA2!D505,"")</f>
        <v/>
      </c>
      <c r="E505" s="26" t="str">
        <f>IF(ISBLANK(DATA2!E505),"",IF(ISBLANK(DATA!C505),DATA2!E505,"Flag override: " &amp; TEXT(DATA!C505, "mm/dd/yyyy hh:mm") ))</f>
        <v/>
      </c>
      <c r="F505" s="27" t="str">
        <f>IF(ISBLANK(DATA2!F505),"",IF(ISBLANK(DATA!D505),DATA2!F505,"Flag override " &amp; TEXT(DATA!D505, "mm/dd/yyyy hh:mm")))</f>
        <v/>
      </c>
      <c r="G505" s="27" t="str">
        <f>IF(DATA2!G505 = 0, "", IF(ISBLANK(DATA2!G505),"",IF(ISBLANK(DATA!E505),DATA2!G505,"Flag override " &amp; TEXT(DATA!E505,"mm/dd/yyyy hh:mm"))))</f>
        <v/>
      </c>
      <c r="H505" s="25" t="str">
        <f>IF(DATA!$G505&gt;0,TEXT(DATA!G505,"mm/dd/yyyy hh:mm"),"")</f>
        <v/>
      </c>
      <c r="I505" s="21"/>
    </row>
    <row r="506" spans="2:9" ht="23.25" x14ac:dyDescent="0.25">
      <c r="B506" s="25" t="str">
        <f t="shared" si="10"/>
        <v/>
      </c>
      <c r="C506" s="25" t="str">
        <f>IF(NOT(ISBLANK(DATA2!C506)),DATA2!C506,"")</f>
        <v/>
      </c>
      <c r="D506" s="25" t="str">
        <f>IF(NOT(ISBLANK(DATA2!D506)),DATA2!D506,"")</f>
        <v/>
      </c>
      <c r="E506" s="26" t="str">
        <f>IF(ISBLANK(DATA2!E506),"",IF(ISBLANK(DATA!C506),DATA2!E506,"Flag override: " &amp; TEXT(DATA!C506, "mm/dd/yyyy hh:mm") ))</f>
        <v/>
      </c>
      <c r="F506" s="27" t="str">
        <f>IF(ISBLANK(DATA2!F506),"",IF(ISBLANK(DATA!D506),DATA2!F506,"Flag override " &amp; TEXT(DATA!D506, "mm/dd/yyyy hh:mm")))</f>
        <v/>
      </c>
      <c r="G506" s="27" t="str">
        <f>IF(DATA2!G506 = 0, "", IF(ISBLANK(DATA2!G506),"",IF(ISBLANK(DATA!E506),DATA2!G506,"Flag override " &amp; TEXT(DATA!E506,"mm/dd/yyyy hh:mm"))))</f>
        <v/>
      </c>
      <c r="H506" s="25" t="str">
        <f>IF(DATA!$G506&gt;0,TEXT(DATA!G506,"mm/dd/yyyy hh:mm"),"")</f>
        <v/>
      </c>
      <c r="I506" s="21"/>
    </row>
    <row r="507" spans="2:9" ht="23.25" x14ac:dyDescent="0.25">
      <c r="B507" s="25" t="str">
        <f t="shared" si="10"/>
        <v/>
      </c>
      <c r="C507" s="25" t="str">
        <f>IF(NOT(ISBLANK(DATA2!C507)),DATA2!C507,"")</f>
        <v/>
      </c>
      <c r="D507" s="25" t="str">
        <f>IF(NOT(ISBLANK(DATA2!D507)),DATA2!D507,"")</f>
        <v/>
      </c>
      <c r="E507" s="26" t="str">
        <f>IF(ISBLANK(DATA2!E507),"",IF(ISBLANK(DATA!C507),DATA2!E507,"Flag override: " &amp; TEXT(DATA!C507, "mm/dd/yyyy hh:mm") ))</f>
        <v/>
      </c>
      <c r="F507" s="27" t="str">
        <f>IF(ISBLANK(DATA2!F507),"",IF(ISBLANK(DATA!D507),DATA2!F507,"Flag override " &amp; TEXT(DATA!D507, "mm/dd/yyyy hh:mm")))</f>
        <v/>
      </c>
      <c r="G507" s="27" t="str">
        <f>IF(DATA2!G507 = 0, "", IF(ISBLANK(DATA2!G507),"",IF(ISBLANK(DATA!E507),DATA2!G507,"Flag override " &amp; TEXT(DATA!E507,"mm/dd/yyyy hh:mm"))))</f>
        <v/>
      </c>
      <c r="H507" s="25" t="str">
        <f>IF(DATA!$G507&gt;0,TEXT(DATA!G507,"mm/dd/yyyy hh:mm"),"")</f>
        <v/>
      </c>
      <c r="I507" s="21"/>
    </row>
    <row r="508" spans="2:9" ht="23.25" x14ac:dyDescent="0.25">
      <c r="B508" s="25" t="str">
        <f t="shared" si="10"/>
        <v/>
      </c>
      <c r="C508" s="25" t="str">
        <f>IF(NOT(ISBLANK(DATA2!C508)),DATA2!C508,"")</f>
        <v/>
      </c>
      <c r="D508" s="25" t="str">
        <f>IF(NOT(ISBLANK(DATA2!D508)),DATA2!D508,"")</f>
        <v/>
      </c>
      <c r="E508" s="26" t="str">
        <f>IF(ISBLANK(DATA2!E508),"",IF(ISBLANK(DATA!C508),DATA2!E508,"Flag override: " &amp; TEXT(DATA!C508, "mm/dd/yyyy hh:mm") ))</f>
        <v/>
      </c>
      <c r="F508" s="27" t="str">
        <f>IF(ISBLANK(DATA2!F508),"",IF(ISBLANK(DATA!D508),DATA2!F508,"Flag override " &amp; TEXT(DATA!D508, "mm/dd/yyyy hh:mm")))</f>
        <v/>
      </c>
      <c r="G508" s="27" t="str">
        <f>IF(DATA2!G508 = 0, "", IF(ISBLANK(DATA2!G508),"",IF(ISBLANK(DATA!E508),DATA2!G508,"Flag override " &amp; TEXT(DATA!E508,"mm/dd/yyyy hh:mm"))))</f>
        <v/>
      </c>
      <c r="H508" s="25" t="str">
        <f>IF(DATA!$G508&gt;0,TEXT(DATA!G508,"mm/dd/yyyy hh:mm"),"")</f>
        <v/>
      </c>
      <c r="I508" s="21"/>
    </row>
    <row r="509" spans="2:9" ht="21" customHeight="1" x14ac:dyDescent="0.25">
      <c r="B509" s="24"/>
      <c r="C509" s="24"/>
      <c r="D509" s="24"/>
      <c r="E509" s="24"/>
      <c r="F509" s="24"/>
      <c r="G509" s="24"/>
      <c r="H509" s="24"/>
      <c r="I509" s="24"/>
    </row>
  </sheetData>
  <sheetProtection selectLockedCells="1"/>
  <mergeCells count="8">
    <mergeCell ref="E3:E5"/>
    <mergeCell ref="F3:F5"/>
    <mergeCell ref="G3:G5"/>
    <mergeCell ref="H3:H5"/>
    <mergeCell ref="E6:E7"/>
    <mergeCell ref="F6:F7"/>
    <mergeCell ref="G6:G7"/>
    <mergeCell ref="H6:H7"/>
  </mergeCells>
  <conditionalFormatting sqref="E3:E5">
    <cfRule type="expression" dxfId="54" priority="8">
      <formula>LEN(INDIRECT("DATA!H" &amp; $C$3+8))&gt;0</formula>
    </cfRule>
  </conditionalFormatting>
  <conditionalFormatting sqref="F3:F5">
    <cfRule type="expression" dxfId="53" priority="7">
      <formula>LEN(INDIRECT("DATA!i" &amp; $C$3+8))&gt;0</formula>
    </cfRule>
  </conditionalFormatting>
  <conditionalFormatting sqref="G3:G5">
    <cfRule type="expression" dxfId="52" priority="6">
      <formula>LEN(INDIRECT("DATA!J" &amp; $C$3+8))&gt;0</formula>
    </cfRule>
  </conditionalFormatting>
  <conditionalFormatting sqref="B9:H508">
    <cfRule type="expression" dxfId="51" priority="1">
      <formula>EXACT($C$3,$B9)</formula>
    </cfRule>
  </conditionalFormatting>
  <dataValidations count="1">
    <dataValidation type="whole" allowBlank="1" showErrorMessage="1" errorTitle="Invalid Entry" error="Enter only a valid row number here..." promptTitle="Enter Row Number" prompt="Enter a whole number, up to the max row number" sqref="C3" xr:uid="{00000000-0002-0000-0000-000000000000}">
      <formula1>1</formula1>
      <formula2>C2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CellValue2">
                <anchor moveWithCells="1" sizeWithCells="1">
                  <from>
                    <xdr:col>4</xdr:col>
                    <xdr:colOff>2114550</xdr:colOff>
                    <xdr:row>5</xdr:row>
                    <xdr:rowOff>95250</xdr:rowOff>
                  </from>
                  <to>
                    <xdr:col>4</xdr:col>
                    <xdr:colOff>3028950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UpdateCellValue3">
                <anchor moveWithCells="1" sizeWithCells="1">
                  <from>
                    <xdr:col>5</xdr:col>
                    <xdr:colOff>2114550</xdr:colOff>
                    <xdr:row>5</xdr:row>
                    <xdr:rowOff>95250</xdr:rowOff>
                  </from>
                  <to>
                    <xdr:col>5</xdr:col>
                    <xdr:colOff>3028950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UpdateCellValue4">
                <anchor moveWithCells="1" sizeWithCells="1">
                  <from>
                    <xdr:col>6</xdr:col>
                    <xdr:colOff>2124075</xdr:colOff>
                    <xdr:row>5</xdr:row>
                    <xdr:rowOff>95250</xdr:rowOff>
                  </from>
                  <to>
                    <xdr:col>6</xdr:col>
                    <xdr:colOff>3038475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LoadNext">
                <anchor moveWithCells="1" sizeWithCells="1">
                  <from>
                    <xdr:col>3</xdr:col>
                    <xdr:colOff>104775</xdr:colOff>
                    <xdr:row>1</xdr:row>
                    <xdr:rowOff>400050</xdr:rowOff>
                  </from>
                  <to>
                    <xdr:col>3</xdr:col>
                    <xdr:colOff>1019175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LoadNextBackward">
                <anchor moveWithCells="1" sizeWithCells="1">
                  <from>
                    <xdr:col>3</xdr:col>
                    <xdr:colOff>104775</xdr:colOff>
                    <xdr:row>2</xdr:row>
                    <xdr:rowOff>552450</xdr:rowOff>
                  </from>
                  <to>
                    <xdr:col>3</xdr:col>
                    <xdr:colOff>1019175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Button 8">
              <controlPr defaultSize="0" print="0" autoFill="0" autoPict="0" macro="[0]!UpdateCellValue1">
                <anchor moveWithCells="1" sizeWithCells="1">
                  <from>
                    <xdr:col>3</xdr:col>
                    <xdr:colOff>104775</xdr:colOff>
                    <xdr:row>4</xdr:row>
                    <xdr:rowOff>295275</xdr:rowOff>
                  </from>
                  <to>
                    <xdr:col>3</xdr:col>
                    <xdr:colOff>1019175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0" name="b_1">
              <controlPr defaultSize="0" print="0" autoFill="0" autoPict="0" macro="[0]!Module2.b_1_Click">
                <anchor moveWithCells="1" sizeWithCells="1">
                  <from>
                    <xdr:col>4</xdr:col>
                    <xdr:colOff>3105150</xdr:colOff>
                    <xdr:row>5</xdr:row>
                    <xdr:rowOff>95250</xdr:rowOff>
                  </from>
                  <to>
                    <xdr:col>4</xdr:col>
                    <xdr:colOff>4019550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1" name="Button 23">
              <controlPr defaultSize="0" print="0" autoFill="0" autoPict="0" macro="[0]!b_2_Click">
                <anchor moveWithCells="1" sizeWithCells="1">
                  <from>
                    <xdr:col>5</xdr:col>
                    <xdr:colOff>3114675</xdr:colOff>
                    <xdr:row>5</xdr:row>
                    <xdr:rowOff>95250</xdr:rowOff>
                  </from>
                  <to>
                    <xdr:col>5</xdr:col>
                    <xdr:colOff>4029075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2" name="Button 25">
              <controlPr defaultSize="0" print="0" autoFill="0" autoPict="0" macro="[0]!b_3_Click">
                <anchor moveWithCells="1" sizeWithCells="1">
                  <from>
                    <xdr:col>6</xdr:col>
                    <xdr:colOff>3124200</xdr:colOff>
                    <xdr:row>5</xdr:row>
                    <xdr:rowOff>95250</xdr:rowOff>
                  </from>
                  <to>
                    <xdr:col>6</xdr:col>
                    <xdr:colOff>4038600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13" name="Button 28">
              <controlPr defaultSize="0" print="0" autoFill="0" autoPict="0" macro="[0]!FindNextEmptyRowAndSetC3">
                <anchor moveWithCells="1" sizeWithCells="1">
                  <from>
                    <xdr:col>3</xdr:col>
                    <xdr:colOff>104775</xdr:colOff>
                    <xdr:row>3</xdr:row>
                    <xdr:rowOff>428625</xdr:rowOff>
                  </from>
                  <to>
                    <xdr:col>3</xdr:col>
                    <xdr:colOff>1019175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14" name="Button 31">
              <controlPr defaultSize="0" print="0" autoFill="0" autoPict="0" macro="[0]!FeatureDisabled">
                <anchor moveWithCells="1" sizeWithCells="1">
                  <from>
                    <xdr:col>1</xdr:col>
                    <xdr:colOff>114300</xdr:colOff>
                    <xdr:row>0</xdr:row>
                    <xdr:rowOff>171450</xdr:rowOff>
                  </from>
                  <to>
                    <xdr:col>2</xdr:col>
                    <xdr:colOff>257175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15" name="Button 32">
              <controlPr defaultSize="0" print="0" autoFill="0" autoPict="0" macro="[0]!FeatureDisabled">
                <anchor moveWithCells="1" sizeWithCells="1">
                  <from>
                    <xdr:col>2</xdr:col>
                    <xdr:colOff>438150</xdr:colOff>
                    <xdr:row>0</xdr:row>
                    <xdr:rowOff>171450</xdr:rowOff>
                  </from>
                  <to>
                    <xdr:col>2</xdr:col>
                    <xdr:colOff>1352550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16" name="Button 33">
              <controlPr defaultSize="0" print="0" autoFill="0" autoPict="0" macro="[0]!FeatureDisabled">
                <anchor moveWithCells="1" sizeWithCells="1">
                  <from>
                    <xdr:col>1</xdr:col>
                    <xdr:colOff>114300</xdr:colOff>
                    <xdr:row>0</xdr:row>
                    <xdr:rowOff>685800</xdr:rowOff>
                  </from>
                  <to>
                    <xdr:col>2</xdr:col>
                    <xdr:colOff>1343025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17" name="Button 36">
              <controlPr defaultSize="0" print="0" autoFill="0" autoPict="0" macro="[0]!UpdateStampValues">
                <anchor moveWithCells="1" sizeWithCells="1">
                  <from>
                    <xdr:col>1</xdr:col>
                    <xdr:colOff>104775</xdr:colOff>
                    <xdr:row>5</xdr:row>
                    <xdr:rowOff>190500</xdr:rowOff>
                  </from>
                  <to>
                    <xdr:col>2</xdr:col>
                    <xdr:colOff>1333500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18" name="Button 38">
              <controlPr defaultSize="0" print="0" autoFill="0" autoPict="0" macro="[0]!FeatureDisabled">
                <anchor moveWithCells="1" sizeWithCells="1">
                  <from>
                    <xdr:col>3</xdr:col>
                    <xdr:colOff>104775</xdr:colOff>
                    <xdr:row>5</xdr:row>
                    <xdr:rowOff>190500</xdr:rowOff>
                  </from>
                  <to>
                    <xdr:col>3</xdr:col>
                    <xdr:colOff>1019175</xdr:colOff>
                    <xdr:row>6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stopIfTrue="1" id="{3ACC93E1-2618-44EA-9E7D-11CBAFD785E2}">
            <xm:f>NOT(ISBLANK(DATA!I9))</xm:f>
            <x14:dxf>
              <font>
                <b/>
                <i/>
                <color rgb="FFFFFF00"/>
              </font>
              <fill>
                <patternFill>
                  <bgColor rgb="FF002060"/>
                </patternFill>
              </fill>
            </x14:dxf>
          </x14:cfRule>
          <xm:sqref>F9:F508</xm:sqref>
        </x14:conditionalFormatting>
        <x14:conditionalFormatting xmlns:xm="http://schemas.microsoft.com/office/excel/2006/main">
          <x14:cfRule type="expression" priority="3" stopIfTrue="1" id="{73B656B8-8A75-475D-983E-31FB5AAB8DD4}">
            <xm:f>NOT(ISBLANK(DATA!H9))</xm:f>
            <x14:dxf>
              <font>
                <b/>
                <i/>
                <color rgb="FFFFFF00"/>
              </font>
              <fill>
                <patternFill>
                  <bgColor rgb="FF002060"/>
                </patternFill>
              </fill>
            </x14:dxf>
          </x14:cfRule>
          <xm:sqref>E9:E508</xm:sqref>
        </x14:conditionalFormatting>
        <x14:conditionalFormatting xmlns:xm="http://schemas.microsoft.com/office/excel/2006/main">
          <x14:cfRule type="expression" priority="2" id="{F7CE6222-3127-4EB9-8F60-E06A8DEEA0D1}">
            <xm:f>NOT(ISBLANK(DATA!J9))</xm:f>
            <x14:dxf>
              <font>
                <b/>
                <i/>
                <color rgb="FFFFFF00"/>
              </font>
              <fill>
                <patternFill>
                  <bgColor rgb="FF002060"/>
                </patternFill>
              </fill>
            </x14:dxf>
          </x14:cfRule>
          <xm:sqref>G9:G508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3B86C-2364-4D5E-91BA-7C0F0D53860A}">
  <sheetPr codeName="Sheet8"/>
  <dimension ref="A1:J19"/>
  <sheetViews>
    <sheetView workbookViewId="0">
      <selection activeCell="L6" sqref="L6"/>
    </sheetView>
  </sheetViews>
  <sheetFormatPr defaultColWidth="11.42578125" defaultRowHeight="15" x14ac:dyDescent="0.25"/>
  <cols>
    <col min="1" max="1" width="16.42578125" style="81" customWidth="1"/>
    <col min="2" max="2" width="13.7109375" style="106" customWidth="1"/>
    <col min="3" max="3" width="37.28515625" style="81" customWidth="1"/>
    <col min="4" max="4" width="18.28515625" style="81" customWidth="1"/>
    <col min="5" max="6" width="21.7109375" style="81" customWidth="1"/>
    <col min="7" max="16384" width="11.42578125" style="81"/>
  </cols>
  <sheetData>
    <row r="1" spans="1:10" ht="48.75" customHeight="1" x14ac:dyDescent="0.25">
      <c r="A1" s="76" t="s">
        <v>122</v>
      </c>
      <c r="B1" s="77" t="s">
        <v>123</v>
      </c>
      <c r="C1" s="77" t="s">
        <v>124</v>
      </c>
      <c r="D1" s="78" t="s">
        <v>125</v>
      </c>
      <c r="E1" s="79" t="s">
        <v>126</v>
      </c>
      <c r="F1" s="79" t="s">
        <v>127</v>
      </c>
      <c r="G1" s="80"/>
      <c r="H1" s="80"/>
      <c r="I1" s="80"/>
      <c r="J1" s="80"/>
    </row>
    <row r="2" spans="1:10" ht="30" customHeight="1" x14ac:dyDescent="0.25">
      <c r="A2" s="82">
        <v>28287801</v>
      </c>
      <c r="B2" s="83" t="s">
        <v>128</v>
      </c>
      <c r="C2" s="84" t="s">
        <v>129</v>
      </c>
      <c r="D2" s="85" t="s">
        <v>130</v>
      </c>
      <c r="E2" s="86" t="str">
        <f>IF(LEFT(D2,1)="Y",B2,"")</f>
        <v>e</v>
      </c>
      <c r="F2" s="87" t="str">
        <f t="shared" ref="F2:F11" si="0">IF(AND( NOT(_xlfn.ISFORMULA(F1)),D2="YES"),E2, IF( AND( NOT(_xlfn.ISFORMULA(F1)), D2&lt;&gt;"YES"), "", IF( OR(E2="w", E2="x", E2="y"     ), CONCATENATE( $F$8&amp;E2), IF( D2 = "YES", CONCATENATE(F1&amp;E2),F1))))</f>
        <v>e</v>
      </c>
      <c r="G2" s="80" t="s">
        <v>131</v>
      </c>
      <c r="H2" s="80"/>
      <c r="I2" s="80"/>
      <c r="J2" s="80"/>
    </row>
    <row r="3" spans="1:10" ht="30" customHeight="1" x14ac:dyDescent="0.25">
      <c r="A3" s="82">
        <v>1874105257</v>
      </c>
      <c r="B3" s="83" t="s">
        <v>132</v>
      </c>
      <c r="C3" s="88" t="s">
        <v>133</v>
      </c>
      <c r="D3" s="85" t="s">
        <v>130</v>
      </c>
      <c r="E3" s="86" t="str">
        <f t="shared" ref="E3:E11" si="1">IF(LEFT(D3,1)="Y",B3,"")</f>
        <v>f</v>
      </c>
      <c r="F3" s="87" t="str">
        <f t="shared" si="0"/>
        <v>ef</v>
      </c>
      <c r="G3" s="80"/>
      <c r="H3" s="80"/>
      <c r="I3" s="80"/>
      <c r="J3" s="80"/>
    </row>
    <row r="4" spans="1:10" ht="30" customHeight="1" x14ac:dyDescent="0.25">
      <c r="A4" s="82">
        <v>28287815</v>
      </c>
      <c r="B4" s="83" t="s">
        <v>134</v>
      </c>
      <c r="C4" s="88" t="s">
        <v>135</v>
      </c>
      <c r="D4" s="85" t="s">
        <v>136</v>
      </c>
      <c r="E4" s="86" t="str">
        <f t="shared" si="1"/>
        <v/>
      </c>
      <c r="F4" s="87" t="str">
        <f t="shared" si="0"/>
        <v>ef</v>
      </c>
      <c r="G4" s="80"/>
      <c r="H4" s="80"/>
      <c r="I4" s="80"/>
      <c r="J4" s="80"/>
    </row>
    <row r="5" spans="1:10" ht="30" customHeight="1" x14ac:dyDescent="0.25">
      <c r="A5" s="82">
        <v>28287824</v>
      </c>
      <c r="B5" s="83" t="s">
        <v>137</v>
      </c>
      <c r="C5" s="88" t="s">
        <v>138</v>
      </c>
      <c r="D5" s="85" t="s">
        <v>130</v>
      </c>
      <c r="E5" s="86" t="str">
        <f t="shared" si="1"/>
        <v>i</v>
      </c>
      <c r="F5" s="87" t="str">
        <f t="shared" si="0"/>
        <v>efi</v>
      </c>
      <c r="G5" s="80"/>
      <c r="H5" s="80"/>
      <c r="I5" s="80"/>
      <c r="J5" s="80"/>
    </row>
    <row r="6" spans="1:10" ht="30" customHeight="1" x14ac:dyDescent="0.25">
      <c r="A6" s="82">
        <v>28287832</v>
      </c>
      <c r="B6" s="83" t="s">
        <v>139</v>
      </c>
      <c r="C6" s="88" t="s">
        <v>140</v>
      </c>
      <c r="D6" s="85" t="s">
        <v>130</v>
      </c>
      <c r="E6" s="86" t="str">
        <f t="shared" si="1"/>
        <v>j</v>
      </c>
      <c r="F6" s="87" t="str">
        <f t="shared" si="0"/>
        <v>efij</v>
      </c>
      <c r="G6" s="80"/>
      <c r="H6" s="80"/>
      <c r="I6" s="80"/>
      <c r="J6" s="80"/>
    </row>
    <row r="7" spans="1:10" ht="30" customHeight="1" x14ac:dyDescent="0.25">
      <c r="A7" s="82">
        <v>28287835</v>
      </c>
      <c r="B7" s="83" t="s">
        <v>141</v>
      </c>
      <c r="C7" s="88" t="s">
        <v>142</v>
      </c>
      <c r="D7" s="85" t="s">
        <v>130</v>
      </c>
      <c r="E7" s="86" t="str">
        <f t="shared" si="1"/>
        <v>k</v>
      </c>
      <c r="F7" s="87" t="str">
        <f t="shared" si="0"/>
        <v>efijk</v>
      </c>
      <c r="G7" s="80"/>
      <c r="H7" s="80"/>
      <c r="I7" s="80"/>
      <c r="J7" s="80"/>
    </row>
    <row r="8" spans="1:10" ht="30" customHeight="1" thickBot="1" x14ac:dyDescent="0.3">
      <c r="A8" s="89">
        <v>28287844</v>
      </c>
      <c r="B8" s="90" t="s">
        <v>143</v>
      </c>
      <c r="C8" s="91" t="s">
        <v>144</v>
      </c>
      <c r="D8" s="92" t="s">
        <v>130</v>
      </c>
      <c r="E8" s="93" t="str">
        <f t="shared" si="1"/>
        <v>l</v>
      </c>
      <c r="F8" s="87" t="str">
        <f t="shared" si="0"/>
        <v>efijkl</v>
      </c>
      <c r="G8" s="80"/>
      <c r="H8" s="80"/>
      <c r="I8" s="80"/>
      <c r="J8" s="80"/>
    </row>
    <row r="9" spans="1:10" ht="30" customHeight="1" thickBot="1" x14ac:dyDescent="0.3">
      <c r="A9" s="94">
        <v>1874105805</v>
      </c>
      <c r="B9" s="95" t="s">
        <v>145</v>
      </c>
      <c r="C9" s="96" t="s">
        <v>146</v>
      </c>
      <c r="D9" s="97" t="s">
        <v>130</v>
      </c>
      <c r="E9" s="98" t="str">
        <f t="shared" si="1"/>
        <v>w</v>
      </c>
      <c r="F9" s="99" t="str">
        <f t="shared" si="0"/>
        <v>efijklw</v>
      </c>
      <c r="G9" s="80"/>
      <c r="H9" s="80"/>
      <c r="I9" s="80"/>
      <c r="J9" s="80"/>
    </row>
    <row r="10" spans="1:10" ht="30" customHeight="1" thickBot="1" x14ac:dyDescent="0.3">
      <c r="A10" s="100">
        <v>28268052</v>
      </c>
      <c r="B10" s="101" t="s">
        <v>147</v>
      </c>
      <c r="C10" s="102" t="s">
        <v>148</v>
      </c>
      <c r="D10" s="103" t="s">
        <v>130</v>
      </c>
      <c r="E10" s="104" t="str">
        <f t="shared" si="1"/>
        <v>x</v>
      </c>
      <c r="F10" s="105" t="str">
        <f t="shared" si="0"/>
        <v>efijklx</v>
      </c>
      <c r="G10" s="80"/>
      <c r="H10" s="80"/>
      <c r="I10" s="80"/>
      <c r="J10" s="80"/>
    </row>
    <row r="11" spans="1:10" ht="30" customHeight="1" thickBot="1" x14ac:dyDescent="0.3">
      <c r="A11" s="100">
        <v>28268049</v>
      </c>
      <c r="B11" s="101" t="s">
        <v>149</v>
      </c>
      <c r="C11" s="102" t="s">
        <v>150</v>
      </c>
      <c r="D11" s="103" t="s">
        <v>130</v>
      </c>
      <c r="E11" s="104" t="str">
        <f t="shared" si="1"/>
        <v>y</v>
      </c>
      <c r="F11" s="105" t="str">
        <f t="shared" si="0"/>
        <v>efijkly</v>
      </c>
      <c r="G11" s="80"/>
      <c r="H11" s="80"/>
      <c r="I11" s="80"/>
      <c r="J11" s="80"/>
    </row>
    <row r="12" spans="1:10" x14ac:dyDescent="0.25">
      <c r="E12" s="80"/>
      <c r="F12" s="80"/>
      <c r="G12" s="80"/>
      <c r="H12" s="80"/>
      <c r="I12" s="80"/>
      <c r="J12" s="80"/>
    </row>
    <row r="13" spans="1:10" x14ac:dyDescent="0.25">
      <c r="E13" s="80"/>
      <c r="F13" s="80"/>
      <c r="G13" s="80"/>
      <c r="H13" s="80"/>
      <c r="I13" s="80"/>
      <c r="J13" s="80"/>
    </row>
    <row r="14" spans="1:10" x14ac:dyDescent="0.25">
      <c r="E14" s="80"/>
      <c r="F14" s="80"/>
      <c r="G14" s="80"/>
      <c r="H14" s="80"/>
      <c r="I14" s="80"/>
      <c r="J14" s="80"/>
    </row>
    <row r="15" spans="1:10" x14ac:dyDescent="0.25">
      <c r="E15" s="80"/>
      <c r="F15" s="80" t="b">
        <f>ISERROR(SEARCH(E11,F4))</f>
        <v>1</v>
      </c>
      <c r="G15" s="80"/>
      <c r="H15" s="80"/>
      <c r="I15" s="80"/>
      <c r="J15" s="80"/>
    </row>
    <row r="16" spans="1:10" x14ac:dyDescent="0.25">
      <c r="E16" s="80"/>
      <c r="F16" s="80"/>
      <c r="G16" s="80"/>
      <c r="H16" s="80"/>
      <c r="I16" s="80"/>
      <c r="J16" s="80"/>
    </row>
    <row r="17" spans="3:10" x14ac:dyDescent="0.25">
      <c r="E17" s="80"/>
      <c r="F17" s="80"/>
      <c r="G17" s="80"/>
      <c r="H17" s="80"/>
      <c r="I17" s="80"/>
      <c r="J17" s="80"/>
    </row>
    <row r="18" spans="3:10" x14ac:dyDescent="0.25">
      <c r="C18" s="107"/>
      <c r="E18" s="80"/>
      <c r="F18" s="80"/>
      <c r="G18" s="80"/>
      <c r="H18" s="80"/>
      <c r="I18" s="80"/>
      <c r="J18" s="80"/>
    </row>
    <row r="19" spans="3:10" x14ac:dyDescent="0.25">
      <c r="E19" s="80"/>
      <c r="F19" s="80"/>
      <c r="G19" s="80"/>
      <c r="H19" s="80"/>
      <c r="I19" s="80"/>
      <c r="J19" s="80"/>
    </row>
  </sheetData>
  <conditionalFormatting sqref="D2:D9 D11">
    <cfRule type="containsBlanks" dxfId="37" priority="2">
      <formula>LEN(TRIM(D2))=0</formula>
    </cfRule>
  </conditionalFormatting>
  <conditionalFormatting sqref="D10">
    <cfRule type="containsBlanks" dxfId="36" priority="1">
      <formula>LEN(TRIM(D10))=0</formula>
    </cfRule>
  </conditionalFormatting>
  <dataValidations count="1">
    <dataValidation type="list" allowBlank="1" showInputMessage="1" showErrorMessage="1" sqref="D2:D8" xr:uid="{67FBBEEA-9EAB-4F36-AC3B-68C1B5C5E7BD}">
      <formula1>"YES,NO"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C47A7-94D0-4F3E-82CA-47AF576DB6E6}">
  <sheetPr codeName="Sheet7"/>
  <dimension ref="A1:T1048572"/>
  <sheetViews>
    <sheetView workbookViewId="0">
      <pane ySplit="3" topLeftCell="A4" activePane="bottomLeft" state="frozen"/>
      <selection pane="bottomLeft" activeCell="D54" sqref="D54"/>
    </sheetView>
  </sheetViews>
  <sheetFormatPr defaultColWidth="0" defaultRowHeight="12.75" customHeight="1" x14ac:dyDescent="0.2"/>
  <cols>
    <col min="1" max="1" width="35.7109375" style="50" customWidth="1"/>
    <col min="2" max="2" width="40.28515625" style="50" customWidth="1"/>
    <col min="3" max="3" width="35.7109375" style="65" customWidth="1"/>
    <col min="4" max="4" width="26.7109375" style="66" customWidth="1"/>
    <col min="5" max="5" width="35.7109375" style="50" customWidth="1"/>
    <col min="6" max="10" width="9.140625" style="50" hidden="1" customWidth="1"/>
    <col min="11" max="17" width="20.7109375" style="50" hidden="1" customWidth="1"/>
    <col min="18" max="18" width="40.7109375" style="50" hidden="1" customWidth="1"/>
    <col min="19" max="19" width="20.7109375" style="50" hidden="1" customWidth="1"/>
    <col min="20" max="20" width="40.7109375" style="50" hidden="1" customWidth="1"/>
    <col min="21" max="16384" width="9.140625" style="50" hidden="1"/>
  </cols>
  <sheetData>
    <row r="1" spans="1:20" ht="45" customHeight="1" x14ac:dyDescent="0.25">
      <c r="A1" s="48"/>
      <c r="B1" s="117" t="s">
        <v>54</v>
      </c>
      <c r="C1" s="49" t="s">
        <v>55</v>
      </c>
      <c r="D1" s="49">
        <f>COUNTIF(D4:D467, "APPLY")</f>
        <v>32</v>
      </c>
      <c r="E1" s="48"/>
      <c r="K1" s="51">
        <v>1</v>
      </c>
      <c r="L1" s="52">
        <v>2</v>
      </c>
      <c r="M1" s="52">
        <v>3</v>
      </c>
      <c r="N1" s="52">
        <v>4</v>
      </c>
      <c r="O1" s="52">
        <v>5</v>
      </c>
      <c r="P1" s="52">
        <v>6</v>
      </c>
      <c r="Q1" s="52">
        <v>7</v>
      </c>
      <c r="R1" s="52">
        <v>8</v>
      </c>
      <c r="S1" s="52">
        <v>9</v>
      </c>
      <c r="T1" s="53">
        <v>10</v>
      </c>
    </row>
    <row r="2" spans="1:20" ht="45" customHeight="1" x14ac:dyDescent="0.25">
      <c r="A2" s="48"/>
      <c r="B2" s="117"/>
      <c r="C2" s="49" t="s">
        <v>56</v>
      </c>
      <c r="D2" s="49">
        <f>COUNTIF(D4:D467,"PENDING")</f>
        <v>0</v>
      </c>
      <c r="E2" s="48"/>
      <c r="F2" s="50" t="s">
        <v>57</v>
      </c>
      <c r="K2" s="54" t="s">
        <v>32</v>
      </c>
      <c r="L2" s="55" t="s">
        <v>33</v>
      </c>
      <c r="M2" s="55" t="s">
        <v>34</v>
      </c>
      <c r="N2" s="55" t="s">
        <v>35</v>
      </c>
      <c r="O2" s="55" t="s">
        <v>36</v>
      </c>
      <c r="P2" s="55" t="s">
        <v>0</v>
      </c>
      <c r="Q2" s="55" t="s">
        <v>37</v>
      </c>
      <c r="R2" s="55" t="s">
        <v>38</v>
      </c>
      <c r="S2" s="55" t="s">
        <v>39</v>
      </c>
      <c r="T2" s="56" t="s">
        <v>40</v>
      </c>
    </row>
    <row r="3" spans="1:20" ht="13.5" thickBot="1" x14ac:dyDescent="0.25">
      <c r="A3" s="57" t="s">
        <v>58</v>
      </c>
      <c r="B3" s="58" t="s">
        <v>59</v>
      </c>
      <c r="C3" s="59" t="s">
        <v>60</v>
      </c>
      <c r="D3" s="60" t="s">
        <v>61</v>
      </c>
      <c r="E3" s="60" t="s">
        <v>62</v>
      </c>
      <c r="K3" s="61">
        <v>45782.466898148145</v>
      </c>
      <c r="L3" s="62" t="s">
        <v>63</v>
      </c>
      <c r="M3" s="62" t="s">
        <v>63</v>
      </c>
      <c r="N3" s="63"/>
      <c r="O3" s="62" t="s">
        <v>64</v>
      </c>
      <c r="P3" s="62" t="s">
        <v>65</v>
      </c>
      <c r="Q3" s="62" t="s">
        <v>66</v>
      </c>
      <c r="R3" s="62" t="s">
        <v>67</v>
      </c>
      <c r="S3" s="63"/>
      <c r="T3" s="64" t="s">
        <v>68</v>
      </c>
    </row>
    <row r="4" spans="1:20" ht="12.75" customHeight="1" x14ac:dyDescent="0.2">
      <c r="A4" s="50" t="s">
        <v>69</v>
      </c>
      <c r="D4" s="66" t="s">
        <v>55</v>
      </c>
      <c r="E4" s="65" t="s">
        <v>70</v>
      </c>
    </row>
    <row r="5" spans="1:20" ht="12.75" customHeight="1" x14ac:dyDescent="0.25">
      <c r="A5" s="67" t="s">
        <v>71</v>
      </c>
      <c r="B5" s="67"/>
      <c r="C5" s="67"/>
      <c r="D5" s="68" t="s">
        <v>55</v>
      </c>
      <c r="E5" s="65" t="s">
        <v>70</v>
      </c>
    </row>
    <row r="6" spans="1:20" ht="12.75" customHeight="1" x14ac:dyDescent="0.2">
      <c r="A6" s="50" t="s">
        <v>72</v>
      </c>
      <c r="D6" s="66" t="s">
        <v>55</v>
      </c>
      <c r="E6" s="65" t="s">
        <v>70</v>
      </c>
    </row>
    <row r="7" spans="1:20" ht="12.75" customHeight="1" x14ac:dyDescent="0.2">
      <c r="A7" s="50" t="s">
        <v>73</v>
      </c>
      <c r="D7" s="66" t="s">
        <v>55</v>
      </c>
      <c r="E7" s="65" t="s">
        <v>70</v>
      </c>
    </row>
    <row r="8" spans="1:20" ht="12.75" customHeight="1" x14ac:dyDescent="0.2">
      <c r="A8" s="50" t="s">
        <v>74</v>
      </c>
      <c r="D8" s="66" t="s">
        <v>55</v>
      </c>
      <c r="E8" s="65" t="s">
        <v>70</v>
      </c>
    </row>
    <row r="9" spans="1:20" ht="12.75" customHeight="1" x14ac:dyDescent="0.25">
      <c r="A9" s="67" t="s">
        <v>75</v>
      </c>
      <c r="B9" s="67"/>
      <c r="C9" s="67"/>
      <c r="D9" s="68" t="s">
        <v>55</v>
      </c>
      <c r="E9" s="65" t="s">
        <v>70</v>
      </c>
    </row>
    <row r="10" spans="1:20" ht="12.75" customHeight="1" x14ac:dyDescent="0.2">
      <c r="A10" s="50" t="s">
        <v>76</v>
      </c>
      <c r="D10" s="66" t="s">
        <v>55</v>
      </c>
      <c r="E10" s="65" t="s">
        <v>70</v>
      </c>
    </row>
    <row r="11" spans="1:20" ht="12.75" customHeight="1" x14ac:dyDescent="0.25">
      <c r="A11" s="67" t="s">
        <v>77</v>
      </c>
      <c r="B11" s="67"/>
      <c r="C11" s="67"/>
      <c r="D11" s="68" t="s">
        <v>55</v>
      </c>
      <c r="E11" s="65" t="s">
        <v>70</v>
      </c>
    </row>
    <row r="12" spans="1:20" ht="12.75" customHeight="1" x14ac:dyDescent="0.2">
      <c r="A12" s="50" t="s">
        <v>78</v>
      </c>
      <c r="D12" s="66" t="s">
        <v>55</v>
      </c>
      <c r="E12" s="65" t="s">
        <v>70</v>
      </c>
    </row>
    <row r="13" spans="1:20" ht="12.75" customHeight="1" x14ac:dyDescent="0.2">
      <c r="A13" s="50" t="s">
        <v>79</v>
      </c>
      <c r="D13" s="66" t="s">
        <v>55</v>
      </c>
      <c r="E13" s="65" t="s">
        <v>70</v>
      </c>
    </row>
    <row r="14" spans="1:20" ht="12.75" customHeight="1" x14ac:dyDescent="0.25">
      <c r="A14" s="67" t="s">
        <v>80</v>
      </c>
      <c r="B14" s="67"/>
      <c r="C14" s="67"/>
      <c r="D14" s="68" t="s">
        <v>55</v>
      </c>
      <c r="E14" s="65" t="s">
        <v>70</v>
      </c>
    </row>
    <row r="15" spans="1:20" ht="12.75" customHeight="1" x14ac:dyDescent="0.25">
      <c r="A15" s="67" t="s">
        <v>81</v>
      </c>
      <c r="B15" s="67"/>
      <c r="C15" s="67"/>
      <c r="D15" s="68" t="s">
        <v>55</v>
      </c>
      <c r="E15" s="65" t="s">
        <v>70</v>
      </c>
    </row>
    <row r="16" spans="1:20" ht="12.75" customHeight="1" x14ac:dyDescent="0.2">
      <c r="A16" s="50" t="s">
        <v>82</v>
      </c>
      <c r="D16" s="66" t="s">
        <v>55</v>
      </c>
      <c r="E16" s="65" t="s">
        <v>70</v>
      </c>
    </row>
    <row r="17" spans="1:5" ht="12.75" customHeight="1" x14ac:dyDescent="0.2">
      <c r="A17" s="50" t="s">
        <v>83</v>
      </c>
      <c r="D17" s="66" t="s">
        <v>55</v>
      </c>
      <c r="E17" s="65" t="s">
        <v>70</v>
      </c>
    </row>
    <row r="18" spans="1:5" ht="12.75" customHeight="1" x14ac:dyDescent="0.25">
      <c r="A18" s="67" t="s">
        <v>84</v>
      </c>
      <c r="B18" s="67"/>
      <c r="C18" s="67"/>
      <c r="D18" s="68" t="s">
        <v>55</v>
      </c>
      <c r="E18" s="65" t="s">
        <v>70</v>
      </c>
    </row>
    <row r="19" spans="1:5" ht="12.75" customHeight="1" x14ac:dyDescent="0.25">
      <c r="A19" s="67" t="s">
        <v>85</v>
      </c>
      <c r="B19" s="67"/>
      <c r="C19" s="67"/>
      <c r="D19" s="68" t="s">
        <v>55</v>
      </c>
      <c r="E19" s="65" t="s">
        <v>70</v>
      </c>
    </row>
    <row r="20" spans="1:5" ht="12.75" customHeight="1" x14ac:dyDescent="0.2">
      <c r="A20" s="50" t="s">
        <v>86</v>
      </c>
      <c r="D20" s="66" t="s">
        <v>55</v>
      </c>
      <c r="E20" s="65" t="s">
        <v>70</v>
      </c>
    </row>
    <row r="21" spans="1:5" ht="12.75" customHeight="1" x14ac:dyDescent="0.2">
      <c r="A21" s="50" t="s">
        <v>87</v>
      </c>
      <c r="D21" s="66" t="s">
        <v>55</v>
      </c>
      <c r="E21" s="65" t="s">
        <v>70</v>
      </c>
    </row>
    <row r="22" spans="1:5" ht="12.75" customHeight="1" x14ac:dyDescent="0.2">
      <c r="A22" s="50" t="s">
        <v>88</v>
      </c>
      <c r="D22" s="66" t="s">
        <v>55</v>
      </c>
      <c r="E22" s="65" t="s">
        <v>70</v>
      </c>
    </row>
    <row r="23" spans="1:5" ht="12.75" customHeight="1" x14ac:dyDescent="0.25">
      <c r="A23" s="67" t="s">
        <v>89</v>
      </c>
      <c r="B23" s="67"/>
      <c r="C23" s="67"/>
      <c r="D23" s="68" t="s">
        <v>55</v>
      </c>
      <c r="E23" s="65" t="s">
        <v>70</v>
      </c>
    </row>
    <row r="24" spans="1:5" ht="12.75" customHeight="1" x14ac:dyDescent="0.2">
      <c r="A24" s="50" t="s">
        <v>90</v>
      </c>
      <c r="D24" s="66" t="s">
        <v>55</v>
      </c>
      <c r="E24" s="65" t="s">
        <v>70</v>
      </c>
    </row>
    <row r="25" spans="1:5" ht="12.75" customHeight="1" x14ac:dyDescent="0.2">
      <c r="A25" s="50" t="s">
        <v>91</v>
      </c>
      <c r="D25" s="66" t="s">
        <v>55</v>
      </c>
      <c r="E25" s="65" t="s">
        <v>70</v>
      </c>
    </row>
    <row r="26" spans="1:5" ht="12.75" customHeight="1" x14ac:dyDescent="0.25">
      <c r="A26" s="67" t="s">
        <v>92</v>
      </c>
      <c r="B26" s="67"/>
      <c r="C26" s="67"/>
      <c r="D26" s="68" t="s">
        <v>55</v>
      </c>
      <c r="E26" s="65" t="s">
        <v>70</v>
      </c>
    </row>
    <row r="27" spans="1:5" ht="12.75" customHeight="1" x14ac:dyDescent="0.25">
      <c r="A27" s="67" t="s">
        <v>93</v>
      </c>
      <c r="B27" s="67"/>
      <c r="C27" s="67"/>
      <c r="D27" s="68" t="s">
        <v>55</v>
      </c>
      <c r="E27" s="65" t="s">
        <v>70</v>
      </c>
    </row>
    <row r="28" spans="1:5" ht="12.75" customHeight="1" x14ac:dyDescent="0.25">
      <c r="A28" s="67" t="s">
        <v>94</v>
      </c>
      <c r="B28" s="67"/>
      <c r="C28" s="67"/>
      <c r="D28" s="68" t="s">
        <v>55</v>
      </c>
      <c r="E28" s="65" t="s">
        <v>70</v>
      </c>
    </row>
    <row r="29" spans="1:5" ht="12.75" customHeight="1" x14ac:dyDescent="0.2">
      <c r="A29" s="50" t="s">
        <v>95</v>
      </c>
      <c r="D29" s="66" t="s">
        <v>55</v>
      </c>
      <c r="E29" s="65" t="s">
        <v>70</v>
      </c>
    </row>
    <row r="30" spans="1:5" ht="12.75" customHeight="1" x14ac:dyDescent="0.2">
      <c r="A30" s="50" t="s">
        <v>96</v>
      </c>
      <c r="D30" s="66" t="s">
        <v>55</v>
      </c>
      <c r="E30" s="65" t="s">
        <v>70</v>
      </c>
    </row>
    <row r="31" spans="1:5" ht="12.75" customHeight="1" x14ac:dyDescent="0.2">
      <c r="A31" s="50" t="s">
        <v>97</v>
      </c>
      <c r="D31" s="66" t="s">
        <v>55</v>
      </c>
      <c r="E31" s="65" t="s">
        <v>70</v>
      </c>
    </row>
    <row r="32" spans="1:5" ht="12.75" customHeight="1" x14ac:dyDescent="0.2">
      <c r="A32" s="50" t="s">
        <v>98</v>
      </c>
      <c r="D32" s="66" t="s">
        <v>55</v>
      </c>
      <c r="E32" s="65" t="s">
        <v>70</v>
      </c>
    </row>
    <row r="33" spans="1:5" ht="12.75" customHeight="1" x14ac:dyDescent="0.2">
      <c r="A33" s="50" t="s">
        <v>99</v>
      </c>
      <c r="D33" s="66" t="s">
        <v>55</v>
      </c>
      <c r="E33" s="65" t="s">
        <v>70</v>
      </c>
    </row>
    <row r="34" spans="1:5" ht="12.75" customHeight="1" x14ac:dyDescent="0.2">
      <c r="A34" s="50" t="s">
        <v>100</v>
      </c>
      <c r="D34" s="66" t="s">
        <v>55</v>
      </c>
      <c r="E34" s="65" t="s">
        <v>70</v>
      </c>
    </row>
    <row r="35" spans="1:5" ht="12.75" customHeight="1" x14ac:dyDescent="0.2">
      <c r="A35" s="50" t="s">
        <v>101</v>
      </c>
      <c r="D35" s="66" t="s">
        <v>55</v>
      </c>
      <c r="E35" s="65" t="s">
        <v>102</v>
      </c>
    </row>
    <row r="36" spans="1:5" ht="12.75" customHeight="1" x14ac:dyDescent="0.25">
      <c r="A36" s="67" t="s">
        <v>103</v>
      </c>
      <c r="B36" s="67"/>
      <c r="C36" s="67"/>
      <c r="D36" s="68" t="s">
        <v>104</v>
      </c>
      <c r="E36" s="65" t="s">
        <v>70</v>
      </c>
    </row>
    <row r="37" spans="1:5" ht="12.75" customHeight="1" x14ac:dyDescent="0.25">
      <c r="A37" s="67" t="s">
        <v>105</v>
      </c>
      <c r="B37" s="67"/>
      <c r="C37" s="67"/>
      <c r="D37" s="68" t="s">
        <v>104</v>
      </c>
      <c r="E37" s="65" t="s">
        <v>70</v>
      </c>
    </row>
    <row r="38" spans="1:5" ht="12.75" customHeight="1" x14ac:dyDescent="0.2">
      <c r="A38" s="50" t="s">
        <v>106</v>
      </c>
      <c r="D38" s="66" t="s">
        <v>104</v>
      </c>
      <c r="E38" s="65" t="s">
        <v>70</v>
      </c>
    </row>
    <row r="39" spans="1:5" ht="12.75" customHeight="1" x14ac:dyDescent="0.2">
      <c r="A39" s="50" t="s">
        <v>107</v>
      </c>
      <c r="D39" s="66" t="s">
        <v>104</v>
      </c>
      <c r="E39" s="65" t="s">
        <v>70</v>
      </c>
    </row>
    <row r="40" spans="1:5" ht="12.75" customHeight="1" x14ac:dyDescent="0.25">
      <c r="A40" s="67" t="s">
        <v>108</v>
      </c>
      <c r="B40" s="67"/>
      <c r="C40" s="67"/>
      <c r="D40" s="68" t="s">
        <v>104</v>
      </c>
      <c r="E40" s="65" t="s">
        <v>70</v>
      </c>
    </row>
    <row r="41" spans="1:5" ht="12.75" customHeight="1" x14ac:dyDescent="0.2">
      <c r="A41" s="50" t="s">
        <v>109</v>
      </c>
      <c r="D41" s="66" t="s">
        <v>104</v>
      </c>
      <c r="E41" s="65" t="s">
        <v>70</v>
      </c>
    </row>
    <row r="42" spans="1:5" ht="12.75" customHeight="1" x14ac:dyDescent="0.2">
      <c r="A42" s="50" t="s">
        <v>110</v>
      </c>
      <c r="D42" s="66" t="s">
        <v>104</v>
      </c>
      <c r="E42" s="65" t="s">
        <v>70</v>
      </c>
    </row>
    <row r="43" spans="1:5" ht="12.75" customHeight="1" x14ac:dyDescent="0.25">
      <c r="A43" s="67" t="s">
        <v>111</v>
      </c>
      <c r="B43" s="67"/>
      <c r="C43" s="67"/>
      <c r="D43" s="68" t="s">
        <v>104</v>
      </c>
      <c r="E43" s="65" t="s">
        <v>70</v>
      </c>
    </row>
    <row r="44" spans="1:5" ht="12.75" customHeight="1" x14ac:dyDescent="0.2">
      <c r="A44" s="50" t="s">
        <v>112</v>
      </c>
      <c r="D44" s="66" t="s">
        <v>104</v>
      </c>
      <c r="E44" s="65" t="s">
        <v>70</v>
      </c>
    </row>
    <row r="45" spans="1:5" ht="12.75" customHeight="1" x14ac:dyDescent="0.2">
      <c r="A45" s="50" t="s">
        <v>113</v>
      </c>
      <c r="D45" s="66" t="s">
        <v>104</v>
      </c>
      <c r="E45" s="65" t="s">
        <v>70</v>
      </c>
    </row>
    <row r="46" spans="1:5" ht="12.75" customHeight="1" x14ac:dyDescent="0.2">
      <c r="A46" s="50" t="s">
        <v>114</v>
      </c>
      <c r="D46" s="66" t="s">
        <v>104</v>
      </c>
      <c r="E46" s="65" t="s">
        <v>70</v>
      </c>
    </row>
    <row r="47" spans="1:5" ht="12.75" customHeight="1" x14ac:dyDescent="0.2">
      <c r="A47" s="50" t="s">
        <v>115</v>
      </c>
      <c r="D47" s="66" t="s">
        <v>104</v>
      </c>
      <c r="E47" s="65" t="s">
        <v>70</v>
      </c>
    </row>
    <row r="48" spans="1:5" ht="12.75" customHeight="1" x14ac:dyDescent="0.2">
      <c r="A48" s="50" t="s">
        <v>116</v>
      </c>
      <c r="D48" s="66" t="s">
        <v>104</v>
      </c>
      <c r="E48" s="65" t="s">
        <v>70</v>
      </c>
    </row>
    <row r="49" spans="1:5" ht="12.75" customHeight="1" x14ac:dyDescent="0.25">
      <c r="A49" s="67" t="s">
        <v>117</v>
      </c>
      <c r="B49" s="67"/>
      <c r="C49" s="67"/>
      <c r="D49" s="68" t="s">
        <v>104</v>
      </c>
      <c r="E49" s="65" t="s">
        <v>70</v>
      </c>
    </row>
    <row r="50" spans="1:5" ht="12.75" customHeight="1" x14ac:dyDescent="0.2">
      <c r="A50" s="50" t="s">
        <v>118</v>
      </c>
      <c r="D50" s="66" t="s">
        <v>104</v>
      </c>
      <c r="E50" s="65" t="s">
        <v>70</v>
      </c>
    </row>
    <row r="51" spans="1:5" ht="12.75" customHeight="1" x14ac:dyDescent="0.2">
      <c r="A51" s="50" t="s">
        <v>119</v>
      </c>
      <c r="D51" s="66" t="s">
        <v>104</v>
      </c>
      <c r="E51" s="65" t="s">
        <v>70</v>
      </c>
    </row>
    <row r="52" spans="1:5" ht="12.75" customHeight="1" x14ac:dyDescent="0.2">
      <c r="A52" s="50" t="s">
        <v>120</v>
      </c>
      <c r="D52" s="66" t="s">
        <v>104</v>
      </c>
      <c r="E52" s="65" t="s">
        <v>70</v>
      </c>
    </row>
    <row r="53" spans="1:5" ht="12.75" customHeight="1" x14ac:dyDescent="0.2">
      <c r="A53" s="50" t="s">
        <v>121</v>
      </c>
      <c r="D53" s="66" t="s">
        <v>104</v>
      </c>
      <c r="E53" s="65" t="s">
        <v>70</v>
      </c>
    </row>
    <row r="54" spans="1:5" ht="12.75" customHeight="1" x14ac:dyDescent="0.2">
      <c r="A54" s="69" t="str">
        <f ca="1">CELL("filename")</f>
        <v>C:\Users\kryan\Desktop\Compliance_Audits_Dev\Files\INPATIENT\Reports\REVIEW\[8ikY7VHS2xWE.xlsm]REVIEW</v>
      </c>
      <c r="B54" s="69"/>
      <c r="C54" s="70"/>
      <c r="D54" s="71"/>
      <c r="E54" s="70"/>
    </row>
    <row r="1048455" spans="3:3" ht="12.75" customHeight="1" x14ac:dyDescent="0.2">
      <c r="C1048455" s="72"/>
    </row>
    <row r="1048470" spans="5:5" ht="12.75" customHeight="1" x14ac:dyDescent="0.2">
      <c r="E1048470" s="73"/>
    </row>
    <row r="1048475" spans="5:5" ht="12.75" customHeight="1" x14ac:dyDescent="0.2">
      <c r="E1048475" s="73"/>
    </row>
    <row r="1048500" spans="4:5" ht="12.75" customHeight="1" x14ac:dyDescent="0.2">
      <c r="E1048500" s="73"/>
    </row>
    <row r="1048501" spans="4:5" ht="12.75" customHeight="1" x14ac:dyDescent="0.2">
      <c r="E1048501" s="73"/>
    </row>
    <row r="1048508" spans="4:5" ht="12.75" customHeight="1" x14ac:dyDescent="0.2">
      <c r="D1048508" s="74"/>
    </row>
    <row r="1048509" spans="4:5" ht="12.75" customHeight="1" x14ac:dyDescent="0.2">
      <c r="D1048509" s="74"/>
    </row>
    <row r="1048510" spans="4:5" ht="12.75" customHeight="1" x14ac:dyDescent="0.2">
      <c r="D1048510" s="74"/>
    </row>
    <row r="1048511" spans="4:5" ht="12.75" customHeight="1" x14ac:dyDescent="0.2">
      <c r="D1048511" s="74"/>
    </row>
    <row r="1048512" spans="4:5" ht="12.75" customHeight="1" x14ac:dyDescent="0.2">
      <c r="D1048512" s="74"/>
    </row>
    <row r="1048513" spans="2:4" ht="12.75" customHeight="1" x14ac:dyDescent="0.2">
      <c r="D1048513" s="74"/>
    </row>
    <row r="1048514" spans="2:4" ht="12.75" customHeight="1" x14ac:dyDescent="0.2">
      <c r="D1048514" s="75"/>
    </row>
    <row r="1048515" spans="2:4" ht="12.75" customHeight="1" x14ac:dyDescent="0.25">
      <c r="B1048515" s="67"/>
      <c r="C1048515" s="67"/>
      <c r="D1048515" s="67"/>
    </row>
    <row r="1048516" spans="2:4" ht="12.75" customHeight="1" x14ac:dyDescent="0.25">
      <c r="B1048516" s="67"/>
      <c r="C1048516" s="67"/>
      <c r="D1048516" s="67"/>
    </row>
    <row r="1048517" spans="2:4" ht="12.75" customHeight="1" x14ac:dyDescent="0.25">
      <c r="B1048517" s="67"/>
      <c r="C1048517" s="67"/>
      <c r="D1048517" s="67"/>
    </row>
    <row r="1048518" spans="2:4" ht="12.75" customHeight="1" x14ac:dyDescent="0.25">
      <c r="B1048518" s="67"/>
      <c r="C1048518" s="67"/>
      <c r="D1048518" s="67"/>
    </row>
    <row r="1048519" spans="2:4" ht="12.75" customHeight="1" x14ac:dyDescent="0.25">
      <c r="B1048519" s="67"/>
      <c r="C1048519" s="67"/>
      <c r="D1048519" s="67"/>
    </row>
    <row r="1048520" spans="2:4" ht="12.75" customHeight="1" x14ac:dyDescent="0.25">
      <c r="B1048520" s="67"/>
      <c r="C1048520" s="67"/>
      <c r="D1048520" s="67"/>
    </row>
    <row r="1048521" spans="2:4" ht="12.75" customHeight="1" x14ac:dyDescent="0.25">
      <c r="B1048521" s="67"/>
      <c r="C1048521" s="67"/>
      <c r="D1048521" s="67"/>
    </row>
    <row r="1048522" spans="2:4" ht="12.75" customHeight="1" x14ac:dyDescent="0.25">
      <c r="B1048522" s="67"/>
      <c r="C1048522" s="67"/>
      <c r="D1048522" s="67"/>
    </row>
    <row r="1048523" spans="2:4" ht="12.75" customHeight="1" x14ac:dyDescent="0.25">
      <c r="B1048523" s="67"/>
      <c r="C1048523" s="67"/>
      <c r="D1048523" s="67"/>
    </row>
    <row r="1048524" spans="2:4" ht="12.75" customHeight="1" x14ac:dyDescent="0.25">
      <c r="B1048524" s="67"/>
      <c r="C1048524" s="67"/>
      <c r="D1048524" s="67"/>
    </row>
    <row r="1048563" ht="30" customHeight="1" x14ac:dyDescent="0.2"/>
    <row r="1048564" ht="30" customHeight="1" x14ac:dyDescent="0.2"/>
    <row r="1048565" ht="30" customHeight="1" x14ac:dyDescent="0.2"/>
    <row r="1048566" ht="30" customHeight="1" x14ac:dyDescent="0.2"/>
    <row r="1048567" ht="30" customHeight="1" x14ac:dyDescent="0.2"/>
    <row r="1048568" ht="30" customHeight="1" x14ac:dyDescent="0.2"/>
    <row r="1048569" ht="30" customHeight="1" x14ac:dyDescent="0.2"/>
    <row r="1048570" ht="30" customHeight="1" x14ac:dyDescent="0.2"/>
    <row r="1048571" ht="30" customHeight="1" x14ac:dyDescent="0.2"/>
    <row r="1048572" ht="30" customHeight="1" x14ac:dyDescent="0.2"/>
  </sheetData>
  <mergeCells count="1">
    <mergeCell ref="B1:B2"/>
  </mergeCells>
  <conditionalFormatting sqref="D1:D28 D46:D1048469">
    <cfRule type="cellIs" dxfId="26" priority="5" operator="equal">
      <formula>"PENDING"</formula>
    </cfRule>
  </conditionalFormatting>
  <conditionalFormatting sqref="D4:D54">
    <cfRule type="cellIs" dxfId="25" priority="2" operator="equal">
      <formula>"EXEMPT"</formula>
    </cfRule>
    <cfRule type="cellIs" dxfId="24" priority="3" operator="equal">
      <formula>"APPLY"</formula>
    </cfRule>
    <cfRule type="cellIs" dxfId="23" priority="4" operator="equal">
      <formula>"PENDING"</formula>
    </cfRule>
  </conditionalFormatting>
  <conditionalFormatting sqref="C1048525:C1048576 C1048484:C1048499 A3:A1048448">
    <cfRule type="duplicateValues" dxfId="22" priority="6"/>
  </conditionalFormatting>
  <conditionalFormatting sqref="K2:T2">
    <cfRule type="duplicateValues" dxfId="21" priority="1"/>
  </conditionalFormatting>
  <dataValidations count="1">
    <dataValidation type="list" allowBlank="1" showInputMessage="1" showErrorMessage="1" sqref="D4:D54" xr:uid="{2F143F8C-86D9-42FA-9DE7-94543FAA9102}">
      <formula1>"APPLY, EXEMPT, PENDING"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"/>
  <sheetViews>
    <sheetView workbookViewId="0">
      <selection activeCell="A2" sqref="A2"/>
    </sheetView>
  </sheetViews>
  <sheetFormatPr defaultRowHeight="15" x14ac:dyDescent="0.25"/>
  <cols>
    <col min="1" max="1" width="13.28515625" customWidth="1"/>
    <col min="2" max="2" width="15.85546875" customWidth="1"/>
    <col min="3" max="3" width="16.85546875" customWidth="1"/>
  </cols>
  <sheetData>
    <row r="1" spans="1:3" x14ac:dyDescent="0.25">
      <c r="A1" t="s">
        <v>0</v>
      </c>
      <c r="B1" t="s">
        <v>42</v>
      </c>
      <c r="C1" t="s">
        <v>43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1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2" max="2" width="24.28515625" customWidth="1"/>
  </cols>
  <sheetData>
    <row r="1" spans="1:2" x14ac:dyDescent="0.25">
      <c r="A1" t="s">
        <v>44</v>
      </c>
      <c r="B1" t="s">
        <v>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11"/>
  <sheetViews>
    <sheetView workbookViewId="0">
      <selection activeCell="B1" sqref="B1"/>
    </sheetView>
  </sheetViews>
  <sheetFormatPr defaultColWidth="0" defaultRowHeight="15" customHeight="1" zeroHeight="1" x14ac:dyDescent="0.25"/>
  <cols>
    <col min="1" max="1" width="22.140625" customWidth="1"/>
    <col min="2" max="2" width="68.7109375" customWidth="1"/>
    <col min="3" max="16384" width="9.140625" hidden="1"/>
  </cols>
  <sheetData>
    <row r="1" spans="1:2" ht="89.25" customHeight="1" x14ac:dyDescent="0.25">
      <c r="A1" s="33" t="s">
        <v>32</v>
      </c>
      <c r="B1" s="108">
        <v>45937.420439814814</v>
      </c>
    </row>
    <row r="2" spans="1:2" x14ac:dyDescent="0.25">
      <c r="A2" s="34" t="s">
        <v>33</v>
      </c>
      <c r="B2" s="35" t="s">
        <v>63</v>
      </c>
    </row>
    <row r="3" spans="1:2" x14ac:dyDescent="0.25">
      <c r="A3" s="34" t="s">
        <v>34</v>
      </c>
      <c r="B3" s="35" t="s">
        <v>63</v>
      </c>
    </row>
    <row r="4" spans="1:2" x14ac:dyDescent="0.25">
      <c r="A4" s="34" t="s">
        <v>35</v>
      </c>
      <c r="B4" s="35"/>
    </row>
    <row r="5" spans="1:2" x14ac:dyDescent="0.25">
      <c r="A5" s="34" t="s">
        <v>36</v>
      </c>
      <c r="B5" s="35" t="s">
        <v>309</v>
      </c>
    </row>
    <row r="6" spans="1:2" x14ac:dyDescent="0.25">
      <c r="A6" s="34" t="s">
        <v>0</v>
      </c>
      <c r="B6" s="35" t="s">
        <v>310</v>
      </c>
    </row>
    <row r="7" spans="1:2" x14ac:dyDescent="0.25">
      <c r="A7" s="34" t="s">
        <v>37</v>
      </c>
      <c r="B7" s="35" t="s">
        <v>311</v>
      </c>
    </row>
    <row r="8" spans="1:2" x14ac:dyDescent="0.25">
      <c r="A8" s="34" t="s">
        <v>38</v>
      </c>
      <c r="B8" s="35" t="s">
        <v>67</v>
      </c>
    </row>
    <row r="9" spans="1:2" x14ac:dyDescent="0.25">
      <c r="A9" s="34" t="s">
        <v>39</v>
      </c>
      <c r="B9" s="35"/>
    </row>
    <row r="10" spans="1:2" x14ac:dyDescent="0.25">
      <c r="A10" s="34" t="s">
        <v>40</v>
      </c>
      <c r="B10" s="35" t="s">
        <v>68</v>
      </c>
    </row>
    <row r="11" spans="1:2" ht="15" customHeight="1" thickBot="1" x14ac:dyDescent="0.3">
      <c r="A11" s="36" t="s">
        <v>41</v>
      </c>
      <c r="B11" s="37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J2476"/>
  <sheetViews>
    <sheetView workbookViewId="0">
      <selection activeCell="C11" sqref="C11"/>
    </sheetView>
  </sheetViews>
  <sheetFormatPr defaultColWidth="8.7109375" defaultRowHeight="15" x14ac:dyDescent="0.25"/>
  <cols>
    <col min="1" max="1" width="8.7109375" style="1"/>
    <col min="2" max="2" width="17" style="1" customWidth="1"/>
    <col min="3" max="3" width="26.85546875" style="1" customWidth="1"/>
    <col min="4" max="4" width="29.5703125" style="1" customWidth="1"/>
    <col min="5" max="5" width="28.28515625" style="1" customWidth="1"/>
    <col min="6" max="6" width="27.7109375" style="1" customWidth="1"/>
    <col min="7" max="7" width="20.5703125" style="1" customWidth="1"/>
    <col min="8" max="8" width="19.42578125" style="2" customWidth="1"/>
    <col min="9" max="9" width="18.85546875" style="2" customWidth="1"/>
    <col min="10" max="10" width="17.7109375" style="2" customWidth="1"/>
    <col min="11" max="16384" width="8.7109375" style="1"/>
  </cols>
  <sheetData>
    <row r="1" spans="2:10" x14ac:dyDescent="0.25">
      <c r="B1" s="1" t="s">
        <v>28</v>
      </c>
      <c r="F1" s="1" t="s">
        <v>29</v>
      </c>
      <c r="G1" s="1" t="s">
        <v>63</v>
      </c>
    </row>
    <row r="2" spans="2:10" x14ac:dyDescent="0.25">
      <c r="B2" s="1" t="s">
        <v>25</v>
      </c>
      <c r="C2" s="2"/>
      <c r="F2" s="8" t="s">
        <v>31</v>
      </c>
    </row>
    <row r="3" spans="2:10" x14ac:dyDescent="0.25">
      <c r="B3" s="1" t="s">
        <v>26</v>
      </c>
      <c r="C3" s="2"/>
    </row>
    <row r="4" spans="2:10" x14ac:dyDescent="0.25">
      <c r="B4" s="1" t="s">
        <v>27</v>
      </c>
      <c r="C4" s="2"/>
    </row>
    <row r="6" spans="2:10" ht="18.75" x14ac:dyDescent="0.25">
      <c r="G6" s="30" t="s">
        <v>30</v>
      </c>
    </row>
    <row r="8" spans="2:10" x14ac:dyDescent="0.25">
      <c r="B8" s="1" t="s">
        <v>7</v>
      </c>
      <c r="C8" s="1" t="s">
        <v>5</v>
      </c>
      <c r="D8" s="1" t="s">
        <v>6</v>
      </c>
      <c r="E8" s="1" t="s">
        <v>19</v>
      </c>
      <c r="F8" s="1" t="s">
        <v>20</v>
      </c>
      <c r="G8" s="1" t="s">
        <v>21</v>
      </c>
      <c r="H8" s="2" t="s">
        <v>22</v>
      </c>
      <c r="I8" s="2" t="s">
        <v>23</v>
      </c>
      <c r="J8" s="2" t="s">
        <v>24</v>
      </c>
    </row>
    <row r="9" spans="2:10" x14ac:dyDescent="0.25">
      <c r="B9" s="1">
        <f>DATA2!$B9</f>
        <v>1</v>
      </c>
      <c r="C9" s="9"/>
      <c r="D9" s="8"/>
      <c r="E9" s="8"/>
      <c r="F9" s="8"/>
      <c r="G9" s="1" t="str">
        <f t="shared" ref="G9:G72" si="0">IF(LEN(C9) + LEN(D9) + LEN(E9)  + LEN(F9)&gt; 0, TEXT(MAX(C9:F9),"mm/dd/yyyy hh:mm"),"")</f>
        <v/>
      </c>
      <c r="H9" s="10"/>
      <c r="I9" s="10"/>
      <c r="J9" s="10"/>
    </row>
    <row r="10" spans="2:10" x14ac:dyDescent="0.25">
      <c r="B10" s="1">
        <f>DATA2!$B10</f>
        <v>2</v>
      </c>
      <c r="C10" s="8"/>
      <c r="D10" s="8"/>
      <c r="E10" s="8"/>
      <c r="F10" s="8"/>
      <c r="G10" s="1" t="str">
        <f t="shared" si="0"/>
        <v/>
      </c>
      <c r="H10" s="10"/>
      <c r="I10" s="10"/>
      <c r="J10" s="10"/>
    </row>
    <row r="11" spans="2:10" x14ac:dyDescent="0.25">
      <c r="B11" s="1">
        <f>DATA2!$B11</f>
        <v>3</v>
      </c>
      <c r="C11" s="8"/>
      <c r="D11" s="8"/>
      <c r="E11" s="8"/>
      <c r="F11" s="8"/>
      <c r="G11" s="1" t="str">
        <f t="shared" si="0"/>
        <v/>
      </c>
      <c r="H11" s="10"/>
      <c r="I11" s="10"/>
      <c r="J11" s="10"/>
    </row>
    <row r="12" spans="2:10" x14ac:dyDescent="0.25">
      <c r="B12" s="1">
        <f>DATA2!$B12</f>
        <v>4</v>
      </c>
      <c r="C12" s="8"/>
      <c r="D12" s="8"/>
      <c r="E12" s="8"/>
      <c r="F12" s="8"/>
      <c r="G12" s="1" t="str">
        <f t="shared" si="0"/>
        <v/>
      </c>
      <c r="H12" s="10"/>
      <c r="I12" s="10"/>
      <c r="J12" s="10"/>
    </row>
    <row r="13" spans="2:10" x14ac:dyDescent="0.25">
      <c r="B13" s="1">
        <f>DATA2!$B13</f>
        <v>5</v>
      </c>
      <c r="C13" s="8"/>
      <c r="D13" s="8"/>
      <c r="E13" s="8"/>
      <c r="F13" s="8"/>
      <c r="G13" s="1" t="str">
        <f t="shared" si="0"/>
        <v/>
      </c>
      <c r="H13" s="10"/>
      <c r="I13" s="10"/>
      <c r="J13" s="10"/>
    </row>
    <row r="14" spans="2:10" x14ac:dyDescent="0.25">
      <c r="B14" s="1">
        <f>DATA2!$B14</f>
        <v>6</v>
      </c>
      <c r="C14" s="8"/>
      <c r="D14" s="8"/>
      <c r="E14" s="8"/>
      <c r="F14" s="8"/>
      <c r="G14" s="1" t="str">
        <f t="shared" si="0"/>
        <v/>
      </c>
      <c r="H14" s="10"/>
      <c r="I14" s="10"/>
      <c r="J14" s="10"/>
    </row>
    <row r="15" spans="2:10" x14ac:dyDescent="0.25">
      <c r="B15" s="1">
        <f>DATA2!$B15</f>
        <v>7</v>
      </c>
      <c r="C15" s="8"/>
      <c r="D15" s="8"/>
      <c r="F15" s="8"/>
      <c r="G15" s="1" t="str">
        <f t="shared" si="0"/>
        <v/>
      </c>
      <c r="H15" s="10"/>
      <c r="I15" s="10"/>
      <c r="J15" s="10"/>
    </row>
    <row r="16" spans="2:10" x14ac:dyDescent="0.25">
      <c r="B16" s="1">
        <f>DATA2!$B16</f>
        <v>8</v>
      </c>
      <c r="C16" s="8"/>
      <c r="E16" s="8"/>
      <c r="F16" s="8"/>
      <c r="G16" s="1" t="str">
        <f t="shared" si="0"/>
        <v/>
      </c>
      <c r="H16" s="10"/>
      <c r="I16" s="10"/>
      <c r="J16" s="10"/>
    </row>
    <row r="17" spans="2:10" x14ac:dyDescent="0.25">
      <c r="B17" s="1">
        <f>DATA2!$B17</f>
        <v>9</v>
      </c>
      <c r="C17" s="8"/>
      <c r="D17" s="8"/>
      <c r="F17" s="8"/>
      <c r="G17" s="1" t="str">
        <f t="shared" si="0"/>
        <v/>
      </c>
      <c r="H17" s="10"/>
      <c r="I17" s="10"/>
      <c r="J17" s="10"/>
    </row>
    <row r="18" spans="2:10" x14ac:dyDescent="0.25">
      <c r="B18" s="1">
        <f>DATA2!$B18</f>
        <v>10</v>
      </c>
      <c r="C18" s="8"/>
      <c r="E18" s="8"/>
      <c r="F18" s="8"/>
      <c r="G18" s="1" t="str">
        <f t="shared" si="0"/>
        <v/>
      </c>
      <c r="H18" s="10"/>
      <c r="I18" s="10"/>
      <c r="J18" s="10"/>
    </row>
    <row r="19" spans="2:10" x14ac:dyDescent="0.25">
      <c r="B19" s="1">
        <f>DATA2!$B19</f>
        <v>11</v>
      </c>
      <c r="C19" s="8"/>
      <c r="F19" s="8"/>
      <c r="G19" s="1" t="str">
        <f t="shared" si="0"/>
        <v/>
      </c>
      <c r="H19" s="10"/>
      <c r="I19" s="10"/>
      <c r="J19" s="10"/>
    </row>
    <row r="20" spans="2:10" x14ac:dyDescent="0.25">
      <c r="B20" s="1">
        <f>DATA2!$B20</f>
        <v>12</v>
      </c>
      <c r="C20" s="8"/>
      <c r="D20" s="8"/>
      <c r="E20" s="8"/>
      <c r="F20" s="8"/>
      <c r="G20" s="1" t="str">
        <f t="shared" si="0"/>
        <v/>
      </c>
      <c r="H20" s="10"/>
      <c r="I20" s="10"/>
      <c r="J20" s="10"/>
    </row>
    <row r="21" spans="2:10" x14ac:dyDescent="0.25">
      <c r="B21" s="1">
        <f>DATA2!$B21</f>
        <v>13</v>
      </c>
      <c r="C21" s="8"/>
      <c r="D21" s="8"/>
      <c r="E21" s="8"/>
      <c r="F21" s="8"/>
      <c r="G21" s="1" t="str">
        <f t="shared" si="0"/>
        <v/>
      </c>
      <c r="H21" s="10"/>
      <c r="I21" s="10"/>
      <c r="J21" s="10"/>
    </row>
    <row r="22" spans="2:10" x14ac:dyDescent="0.25">
      <c r="B22" s="1">
        <f>DATA2!$B22</f>
        <v>14</v>
      </c>
      <c r="C22" s="8"/>
      <c r="D22" s="8"/>
      <c r="E22" s="8"/>
      <c r="F22" s="9"/>
      <c r="G22" s="1" t="str">
        <f t="shared" si="0"/>
        <v/>
      </c>
      <c r="H22" s="10"/>
      <c r="I22" s="10"/>
      <c r="J22" s="10"/>
    </row>
    <row r="23" spans="2:10" x14ac:dyDescent="0.25">
      <c r="B23" s="1">
        <f>DATA2!$B23</f>
        <v>15</v>
      </c>
      <c r="F23" s="8"/>
      <c r="G23" s="1" t="str">
        <f t="shared" si="0"/>
        <v/>
      </c>
      <c r="H23" s="10"/>
      <c r="I23" s="10"/>
      <c r="J23" s="10"/>
    </row>
    <row r="24" spans="2:10" x14ac:dyDescent="0.25">
      <c r="B24" s="1">
        <f>DATA2!$B24</f>
        <v>16</v>
      </c>
      <c r="F24" s="8"/>
      <c r="G24" s="1" t="str">
        <f t="shared" si="0"/>
        <v/>
      </c>
      <c r="H24" s="10"/>
      <c r="I24" s="10"/>
      <c r="J24" s="10"/>
    </row>
    <row r="25" spans="2:10" x14ac:dyDescent="0.25">
      <c r="B25" s="1">
        <f>DATA2!$B25</f>
        <v>17</v>
      </c>
      <c r="F25" s="8"/>
      <c r="G25" s="1" t="str">
        <f t="shared" si="0"/>
        <v/>
      </c>
      <c r="H25" s="10"/>
      <c r="I25" s="10"/>
      <c r="J25" s="10"/>
    </row>
    <row r="26" spans="2:10" x14ac:dyDescent="0.25">
      <c r="B26" s="1">
        <f>DATA2!$B26</f>
        <v>18</v>
      </c>
      <c r="F26" s="8"/>
      <c r="G26" s="1" t="str">
        <f t="shared" si="0"/>
        <v/>
      </c>
      <c r="H26" s="10"/>
      <c r="I26" s="10"/>
      <c r="J26" s="10"/>
    </row>
    <row r="27" spans="2:10" x14ac:dyDescent="0.25">
      <c r="B27" s="1">
        <f>DATA2!$B27</f>
        <v>19</v>
      </c>
      <c r="C27" s="8"/>
      <c r="D27" s="8"/>
      <c r="E27" s="8"/>
      <c r="F27" s="8"/>
      <c r="G27" s="1" t="str">
        <f t="shared" si="0"/>
        <v/>
      </c>
      <c r="H27" s="10"/>
      <c r="I27" s="10"/>
      <c r="J27" s="10"/>
    </row>
    <row r="28" spans="2:10" x14ac:dyDescent="0.25">
      <c r="B28" s="1">
        <f>DATA2!$B28</f>
        <v>20</v>
      </c>
      <c r="C28" s="8"/>
      <c r="D28" s="8"/>
      <c r="E28" s="8"/>
      <c r="F28" s="8"/>
      <c r="G28" s="1" t="str">
        <f t="shared" si="0"/>
        <v/>
      </c>
      <c r="H28" s="10"/>
      <c r="I28" s="10"/>
      <c r="J28" s="10"/>
    </row>
    <row r="29" spans="2:10" x14ac:dyDescent="0.25">
      <c r="B29" s="1">
        <f>DATA2!$B29</f>
        <v>21</v>
      </c>
      <c r="F29" s="8"/>
      <c r="G29" s="1" t="str">
        <f t="shared" si="0"/>
        <v/>
      </c>
    </row>
    <row r="30" spans="2:10" x14ac:dyDescent="0.25">
      <c r="B30" s="1">
        <f>DATA2!$B30</f>
        <v>22</v>
      </c>
      <c r="F30" s="8"/>
      <c r="G30" s="1" t="str">
        <f t="shared" si="0"/>
        <v/>
      </c>
    </row>
    <row r="31" spans="2:10" x14ac:dyDescent="0.25">
      <c r="B31" s="1">
        <f>DATA2!$B31</f>
        <v>23</v>
      </c>
      <c r="F31" s="8"/>
      <c r="G31" s="1" t="str">
        <f t="shared" si="0"/>
        <v/>
      </c>
    </row>
    <row r="32" spans="2:10" x14ac:dyDescent="0.25">
      <c r="B32" s="1">
        <f>DATA2!$B32</f>
        <v>24</v>
      </c>
      <c r="F32" s="8"/>
      <c r="G32" s="1" t="str">
        <f t="shared" si="0"/>
        <v/>
      </c>
    </row>
    <row r="33" spans="2:7" x14ac:dyDescent="0.25">
      <c r="B33" s="1">
        <f>DATA2!$B33</f>
        <v>25</v>
      </c>
      <c r="F33" s="8"/>
      <c r="G33" s="1" t="str">
        <f t="shared" si="0"/>
        <v/>
      </c>
    </row>
    <row r="34" spans="2:7" x14ac:dyDescent="0.25">
      <c r="B34" s="1">
        <f>DATA2!$B34</f>
        <v>26</v>
      </c>
      <c r="F34" s="8"/>
      <c r="G34" s="1" t="str">
        <f t="shared" si="0"/>
        <v/>
      </c>
    </row>
    <row r="35" spans="2:7" x14ac:dyDescent="0.25">
      <c r="B35" s="1">
        <f>DATA2!$B35</f>
        <v>27</v>
      </c>
      <c r="F35" s="8"/>
      <c r="G35" s="1" t="str">
        <f t="shared" si="0"/>
        <v/>
      </c>
    </row>
    <row r="36" spans="2:7" x14ac:dyDescent="0.25">
      <c r="B36" s="1">
        <f>DATA2!$B36</f>
        <v>28</v>
      </c>
      <c r="F36" s="8"/>
      <c r="G36" s="1" t="str">
        <f t="shared" si="0"/>
        <v/>
      </c>
    </row>
    <row r="37" spans="2:7" x14ac:dyDescent="0.25">
      <c r="B37" s="1">
        <f>DATA2!$B37</f>
        <v>29</v>
      </c>
      <c r="F37" s="8"/>
      <c r="G37" s="1" t="str">
        <f t="shared" si="0"/>
        <v/>
      </c>
    </row>
    <row r="38" spans="2:7" x14ac:dyDescent="0.25">
      <c r="B38" s="1">
        <f>DATA2!$B38</f>
        <v>30</v>
      </c>
      <c r="F38" s="8"/>
      <c r="G38" s="1" t="str">
        <f t="shared" si="0"/>
        <v/>
      </c>
    </row>
    <row r="39" spans="2:7" x14ac:dyDescent="0.25">
      <c r="B39" s="1">
        <f>DATA2!$B39</f>
        <v>31</v>
      </c>
      <c r="F39" s="8"/>
      <c r="G39" s="1" t="str">
        <f t="shared" si="0"/>
        <v/>
      </c>
    </row>
    <row r="40" spans="2:7" x14ac:dyDescent="0.25">
      <c r="B40" s="1">
        <f>DATA2!$B40</f>
        <v>32</v>
      </c>
      <c r="F40" s="8"/>
      <c r="G40" s="1" t="str">
        <f t="shared" si="0"/>
        <v/>
      </c>
    </row>
    <row r="41" spans="2:7" x14ac:dyDescent="0.25">
      <c r="B41" s="1">
        <f>DATA2!$B41</f>
        <v>33</v>
      </c>
      <c r="F41" s="8"/>
      <c r="G41" s="1" t="str">
        <f t="shared" si="0"/>
        <v/>
      </c>
    </row>
    <row r="42" spans="2:7" x14ac:dyDescent="0.25">
      <c r="B42" s="1">
        <f>DATA2!$B42</f>
        <v>34</v>
      </c>
      <c r="F42" s="8"/>
      <c r="G42" s="1" t="str">
        <f t="shared" si="0"/>
        <v/>
      </c>
    </row>
    <row r="43" spans="2:7" x14ac:dyDescent="0.25">
      <c r="B43" s="1">
        <f>DATA2!$B43</f>
        <v>35</v>
      </c>
      <c r="F43" s="8"/>
      <c r="G43" s="1" t="str">
        <f t="shared" si="0"/>
        <v/>
      </c>
    </row>
    <row r="44" spans="2:7" x14ac:dyDescent="0.25">
      <c r="B44" s="1">
        <f>DATA2!$B44</f>
        <v>36</v>
      </c>
      <c r="F44" s="8"/>
      <c r="G44" s="1" t="str">
        <f t="shared" si="0"/>
        <v/>
      </c>
    </row>
    <row r="45" spans="2:7" x14ac:dyDescent="0.25">
      <c r="B45" s="1">
        <f>DATA2!$B45</f>
        <v>37</v>
      </c>
      <c r="F45" s="8"/>
      <c r="G45" s="1" t="str">
        <f t="shared" si="0"/>
        <v/>
      </c>
    </row>
    <row r="46" spans="2:7" x14ac:dyDescent="0.25">
      <c r="B46" s="1">
        <f>DATA2!$B46</f>
        <v>38</v>
      </c>
      <c r="F46" s="8"/>
      <c r="G46" s="1" t="str">
        <f t="shared" si="0"/>
        <v/>
      </c>
    </row>
    <row r="47" spans="2:7" x14ac:dyDescent="0.25">
      <c r="B47" s="1">
        <f>DATA2!$B47</f>
        <v>39</v>
      </c>
      <c r="F47" s="8"/>
      <c r="G47" s="1" t="str">
        <f t="shared" si="0"/>
        <v/>
      </c>
    </row>
    <row r="48" spans="2:7" x14ac:dyDescent="0.25">
      <c r="B48" s="1">
        <f>DATA2!$B48</f>
        <v>40</v>
      </c>
      <c r="F48" s="8"/>
      <c r="G48" s="1" t="str">
        <f t="shared" si="0"/>
        <v/>
      </c>
    </row>
    <row r="49" spans="2:7" x14ac:dyDescent="0.25">
      <c r="B49" s="1">
        <f>DATA2!$B49</f>
        <v>41</v>
      </c>
      <c r="F49" s="8"/>
      <c r="G49" s="1" t="str">
        <f t="shared" si="0"/>
        <v/>
      </c>
    </row>
    <row r="50" spans="2:7" x14ac:dyDescent="0.25">
      <c r="B50" s="1">
        <f>DATA2!$B50</f>
        <v>42</v>
      </c>
      <c r="F50" s="8"/>
      <c r="G50" s="1" t="str">
        <f t="shared" si="0"/>
        <v/>
      </c>
    </row>
    <row r="51" spans="2:7" x14ac:dyDescent="0.25">
      <c r="B51" s="1">
        <f>DATA2!$B51</f>
        <v>43</v>
      </c>
      <c r="F51" s="8"/>
      <c r="G51" s="1" t="str">
        <f t="shared" si="0"/>
        <v/>
      </c>
    </row>
    <row r="52" spans="2:7" x14ac:dyDescent="0.25">
      <c r="B52" s="1">
        <f>DATA2!$B52</f>
        <v>44</v>
      </c>
      <c r="F52" s="8"/>
      <c r="G52" s="1" t="str">
        <f t="shared" si="0"/>
        <v/>
      </c>
    </row>
    <row r="53" spans="2:7" x14ac:dyDescent="0.25">
      <c r="B53" s="1">
        <f>DATA2!$B53</f>
        <v>45</v>
      </c>
      <c r="F53" s="8"/>
      <c r="G53" s="1" t="str">
        <f t="shared" si="0"/>
        <v/>
      </c>
    </row>
    <row r="54" spans="2:7" x14ac:dyDescent="0.25">
      <c r="B54" s="1">
        <f>DATA2!$B54</f>
        <v>46</v>
      </c>
      <c r="F54" s="8"/>
      <c r="G54" s="1" t="str">
        <f t="shared" si="0"/>
        <v/>
      </c>
    </row>
    <row r="55" spans="2:7" x14ac:dyDescent="0.25">
      <c r="B55" s="1">
        <f>DATA2!$B55</f>
        <v>47</v>
      </c>
      <c r="F55" s="8"/>
      <c r="G55" s="1" t="str">
        <f t="shared" si="0"/>
        <v/>
      </c>
    </row>
    <row r="56" spans="2:7" x14ac:dyDescent="0.25">
      <c r="B56" s="1">
        <f>DATA2!$B56</f>
        <v>48</v>
      </c>
      <c r="F56" s="8"/>
      <c r="G56" s="1" t="str">
        <f t="shared" si="0"/>
        <v/>
      </c>
    </row>
    <row r="57" spans="2:7" x14ac:dyDescent="0.25">
      <c r="B57" s="1">
        <f>DATA2!$B57</f>
        <v>49</v>
      </c>
      <c r="F57" s="8"/>
      <c r="G57" s="1" t="str">
        <f t="shared" si="0"/>
        <v/>
      </c>
    </row>
    <row r="58" spans="2:7" x14ac:dyDescent="0.25">
      <c r="B58" s="1">
        <f>DATA2!$B58</f>
        <v>50</v>
      </c>
      <c r="F58" s="8"/>
      <c r="G58" s="1" t="str">
        <f t="shared" si="0"/>
        <v/>
      </c>
    </row>
    <row r="59" spans="2:7" x14ac:dyDescent="0.25">
      <c r="B59" s="1">
        <f>DATA2!$B59</f>
        <v>51</v>
      </c>
      <c r="F59" s="8"/>
      <c r="G59" s="1" t="str">
        <f t="shared" si="0"/>
        <v/>
      </c>
    </row>
    <row r="60" spans="2:7" x14ac:dyDescent="0.25">
      <c r="B60" s="1">
        <f>DATA2!$B60</f>
        <v>52</v>
      </c>
      <c r="F60" s="8"/>
      <c r="G60" s="1" t="str">
        <f t="shared" si="0"/>
        <v/>
      </c>
    </row>
    <row r="61" spans="2:7" x14ac:dyDescent="0.25">
      <c r="B61" s="1">
        <f>DATA2!$B61</f>
        <v>53</v>
      </c>
      <c r="F61" s="8"/>
      <c r="G61" s="1" t="str">
        <f t="shared" si="0"/>
        <v/>
      </c>
    </row>
    <row r="62" spans="2:7" x14ac:dyDescent="0.25">
      <c r="B62" s="1">
        <f>DATA2!$B62</f>
        <v>54</v>
      </c>
      <c r="F62" s="8"/>
      <c r="G62" s="1" t="str">
        <f t="shared" si="0"/>
        <v/>
      </c>
    </row>
    <row r="63" spans="2:7" x14ac:dyDescent="0.25">
      <c r="B63" s="1">
        <f>DATA2!$B63</f>
        <v>55</v>
      </c>
      <c r="F63" s="8"/>
      <c r="G63" s="1" t="str">
        <f t="shared" si="0"/>
        <v/>
      </c>
    </row>
    <row r="64" spans="2:7" x14ac:dyDescent="0.25">
      <c r="B64" s="1">
        <f>DATA2!$B64</f>
        <v>56</v>
      </c>
      <c r="F64" s="8"/>
      <c r="G64" s="1" t="str">
        <f t="shared" si="0"/>
        <v/>
      </c>
    </row>
    <row r="65" spans="2:9" ht="60" x14ac:dyDescent="0.25">
      <c r="B65" s="1">
        <f>DATA2!$B65</f>
        <v>57</v>
      </c>
      <c r="D65" s="8"/>
      <c r="F65" s="8"/>
      <c r="G65" s="1" t="str">
        <f t="shared" si="0"/>
        <v/>
      </c>
      <c r="I65" s="2" t="s">
        <v>312</v>
      </c>
    </row>
    <row r="66" spans="2:9" x14ac:dyDescent="0.25">
      <c r="B66" s="1">
        <f>DATA2!$B66</f>
        <v>58</v>
      </c>
      <c r="F66" s="8"/>
      <c r="G66" s="1" t="str">
        <f t="shared" si="0"/>
        <v/>
      </c>
    </row>
    <row r="67" spans="2:9" x14ac:dyDescent="0.25">
      <c r="B67" s="1">
        <f>DATA2!$B67</f>
        <v>59</v>
      </c>
      <c r="F67" s="8"/>
      <c r="G67" s="1" t="str">
        <f t="shared" si="0"/>
        <v/>
      </c>
    </row>
    <row r="68" spans="2:9" x14ac:dyDescent="0.25">
      <c r="B68" s="1">
        <f>DATA2!$B68</f>
        <v>60</v>
      </c>
      <c r="F68" s="8"/>
      <c r="G68" s="1" t="str">
        <f t="shared" si="0"/>
        <v/>
      </c>
    </row>
    <row r="69" spans="2:9" x14ac:dyDescent="0.25">
      <c r="B69" s="1">
        <f>DATA2!$B69</f>
        <v>61</v>
      </c>
      <c r="F69" s="8"/>
      <c r="G69" s="1" t="str">
        <f t="shared" si="0"/>
        <v/>
      </c>
    </row>
    <row r="70" spans="2:9" x14ac:dyDescent="0.25">
      <c r="B70" s="1">
        <f>DATA2!$B70</f>
        <v>62</v>
      </c>
      <c r="F70" s="8"/>
      <c r="G70" s="1" t="str">
        <f t="shared" si="0"/>
        <v/>
      </c>
    </row>
    <row r="71" spans="2:9" x14ac:dyDescent="0.25">
      <c r="B71" s="1">
        <f>DATA2!$B71</f>
        <v>63</v>
      </c>
      <c r="F71" s="8"/>
      <c r="G71" s="1" t="str">
        <f t="shared" si="0"/>
        <v/>
      </c>
    </row>
    <row r="72" spans="2:9" x14ac:dyDescent="0.25">
      <c r="B72" s="1">
        <f>DATA2!$B72</f>
        <v>64</v>
      </c>
      <c r="F72" s="8"/>
      <c r="G72" s="1" t="str">
        <f t="shared" si="0"/>
        <v/>
      </c>
    </row>
    <row r="73" spans="2:9" x14ac:dyDescent="0.25">
      <c r="B73" s="1">
        <f>DATA2!$B73</f>
        <v>65</v>
      </c>
      <c r="F73" s="8"/>
      <c r="G73" s="1" t="str">
        <f t="shared" ref="G73:G136" si="1">IF(LEN(C73) + LEN(D73) + LEN(E73)  + LEN(F73)&gt; 0, TEXT(MAX(C73:F73),"mm/dd/yyyy hh:mm"),"")</f>
        <v/>
      </c>
    </row>
    <row r="74" spans="2:9" x14ac:dyDescent="0.25">
      <c r="B74" s="1">
        <f>DATA2!$B74</f>
        <v>66</v>
      </c>
      <c r="F74" s="8"/>
      <c r="G74" s="1" t="str">
        <f t="shared" si="1"/>
        <v/>
      </c>
    </row>
    <row r="75" spans="2:9" x14ac:dyDescent="0.25">
      <c r="B75" s="1">
        <f>DATA2!$B75</f>
        <v>67</v>
      </c>
      <c r="F75" s="8"/>
      <c r="G75" s="1" t="str">
        <f t="shared" si="1"/>
        <v/>
      </c>
    </row>
    <row r="76" spans="2:9" x14ac:dyDescent="0.25">
      <c r="B76" s="1">
        <f>DATA2!$B76</f>
        <v>68</v>
      </c>
      <c r="F76" s="8"/>
      <c r="G76" s="1" t="str">
        <f t="shared" si="1"/>
        <v/>
      </c>
    </row>
    <row r="77" spans="2:9" x14ac:dyDescent="0.25">
      <c r="B77" s="1">
        <f>DATA2!$B77</f>
        <v>69</v>
      </c>
      <c r="F77" s="8"/>
      <c r="G77" s="1" t="str">
        <f t="shared" si="1"/>
        <v/>
      </c>
    </row>
    <row r="78" spans="2:9" x14ac:dyDescent="0.25">
      <c r="B78" s="1">
        <f>DATA2!$B78</f>
        <v>70</v>
      </c>
      <c r="F78" s="8"/>
      <c r="G78" s="1" t="str">
        <f t="shared" si="1"/>
        <v/>
      </c>
    </row>
    <row r="79" spans="2:9" x14ac:dyDescent="0.25">
      <c r="B79" s="1">
        <f>DATA2!$B79</f>
        <v>71</v>
      </c>
      <c r="F79" s="8"/>
      <c r="G79" s="1" t="str">
        <f t="shared" si="1"/>
        <v/>
      </c>
    </row>
    <row r="80" spans="2:9" x14ac:dyDescent="0.25">
      <c r="B80" s="1">
        <f>DATA2!$B80</f>
        <v>72</v>
      </c>
      <c r="F80" s="8"/>
      <c r="G80" s="1" t="str">
        <f t="shared" si="1"/>
        <v/>
      </c>
    </row>
    <row r="81" spans="2:7" x14ac:dyDescent="0.25">
      <c r="B81" s="1">
        <f>DATA2!$B81</f>
        <v>73</v>
      </c>
      <c r="F81" s="8"/>
      <c r="G81" s="1" t="str">
        <f t="shared" si="1"/>
        <v/>
      </c>
    </row>
    <row r="82" spans="2:7" x14ac:dyDescent="0.25">
      <c r="B82" s="1">
        <f>DATA2!$B82</f>
        <v>74</v>
      </c>
      <c r="F82" s="8"/>
      <c r="G82" s="1" t="str">
        <f t="shared" si="1"/>
        <v/>
      </c>
    </row>
    <row r="83" spans="2:7" x14ac:dyDescent="0.25">
      <c r="B83" s="1">
        <f>DATA2!$B83</f>
        <v>75</v>
      </c>
      <c r="F83" s="8"/>
      <c r="G83" s="1" t="str">
        <f t="shared" si="1"/>
        <v/>
      </c>
    </row>
    <row r="84" spans="2:7" x14ac:dyDescent="0.25">
      <c r="B84" s="1">
        <f>DATA2!$B84</f>
        <v>76</v>
      </c>
      <c r="F84" s="8"/>
      <c r="G84" s="1" t="str">
        <f t="shared" si="1"/>
        <v/>
      </c>
    </row>
    <row r="85" spans="2:7" x14ac:dyDescent="0.25">
      <c r="B85" s="1">
        <f>DATA2!$B85</f>
        <v>77</v>
      </c>
      <c r="F85" s="8"/>
      <c r="G85" s="1" t="str">
        <f t="shared" si="1"/>
        <v/>
      </c>
    </row>
    <row r="86" spans="2:7" x14ac:dyDescent="0.25">
      <c r="B86" s="1">
        <f>DATA2!$B86</f>
        <v>78</v>
      </c>
      <c r="F86" s="8"/>
      <c r="G86" s="1" t="str">
        <f t="shared" si="1"/>
        <v/>
      </c>
    </row>
    <row r="87" spans="2:7" x14ac:dyDescent="0.25">
      <c r="B87" s="1">
        <f>DATA2!$B87</f>
        <v>79</v>
      </c>
      <c r="F87" s="8"/>
      <c r="G87" s="1" t="str">
        <f t="shared" si="1"/>
        <v/>
      </c>
    </row>
    <row r="88" spans="2:7" x14ac:dyDescent="0.25">
      <c r="B88" s="1">
        <f>DATA2!$B88</f>
        <v>80</v>
      </c>
      <c r="F88" s="8"/>
      <c r="G88" s="1" t="str">
        <f t="shared" si="1"/>
        <v/>
      </c>
    </row>
    <row r="89" spans="2:7" x14ac:dyDescent="0.25">
      <c r="B89" s="1">
        <f>DATA2!$B89</f>
        <v>81</v>
      </c>
      <c r="F89" s="8"/>
      <c r="G89" s="1" t="str">
        <f t="shared" si="1"/>
        <v/>
      </c>
    </row>
    <row r="90" spans="2:7" x14ac:dyDescent="0.25">
      <c r="B90" s="1">
        <f>DATA2!$B90</f>
        <v>82</v>
      </c>
      <c r="F90" s="8"/>
      <c r="G90" s="1" t="str">
        <f t="shared" si="1"/>
        <v/>
      </c>
    </row>
    <row r="91" spans="2:7" x14ac:dyDescent="0.25">
      <c r="B91" s="1">
        <f>DATA2!$B91</f>
        <v>83</v>
      </c>
      <c r="F91" s="8"/>
      <c r="G91" s="1" t="str">
        <f t="shared" si="1"/>
        <v/>
      </c>
    </row>
    <row r="92" spans="2:7" x14ac:dyDescent="0.25">
      <c r="B92" s="1">
        <f>DATA2!$B92</f>
        <v>84</v>
      </c>
      <c r="F92" s="8"/>
      <c r="G92" s="1" t="str">
        <f t="shared" si="1"/>
        <v/>
      </c>
    </row>
    <row r="93" spans="2:7" x14ac:dyDescent="0.25">
      <c r="B93" s="1">
        <f>DATA2!$B93</f>
        <v>85</v>
      </c>
      <c r="F93" s="8"/>
      <c r="G93" s="1" t="str">
        <f t="shared" si="1"/>
        <v/>
      </c>
    </row>
    <row r="94" spans="2:7" x14ac:dyDescent="0.25">
      <c r="B94" s="1">
        <f>DATA2!$B94</f>
        <v>86</v>
      </c>
      <c r="F94" s="8"/>
      <c r="G94" s="1" t="str">
        <f t="shared" si="1"/>
        <v/>
      </c>
    </row>
    <row r="95" spans="2:7" x14ac:dyDescent="0.25">
      <c r="B95" s="1">
        <f>DATA2!$B95</f>
        <v>87</v>
      </c>
      <c r="F95" s="8"/>
      <c r="G95" s="1" t="str">
        <f t="shared" si="1"/>
        <v/>
      </c>
    </row>
    <row r="96" spans="2:7" x14ac:dyDescent="0.25">
      <c r="B96" s="1">
        <f>DATA2!$B96</f>
        <v>88</v>
      </c>
      <c r="F96" s="8"/>
      <c r="G96" s="1" t="str">
        <f t="shared" si="1"/>
        <v/>
      </c>
    </row>
    <row r="97" spans="2:7" x14ac:dyDescent="0.25">
      <c r="B97" s="1">
        <f>DATA2!$B97</f>
        <v>89</v>
      </c>
      <c r="F97" s="8"/>
      <c r="G97" s="1" t="str">
        <f t="shared" si="1"/>
        <v/>
      </c>
    </row>
    <row r="98" spans="2:7" x14ac:dyDescent="0.25">
      <c r="B98" s="1">
        <f>DATA2!$B98</f>
        <v>90</v>
      </c>
      <c r="F98" s="8"/>
      <c r="G98" s="1" t="str">
        <f t="shared" si="1"/>
        <v/>
      </c>
    </row>
    <row r="99" spans="2:7" x14ac:dyDescent="0.25">
      <c r="B99" s="1">
        <f>DATA2!$B99</f>
        <v>91</v>
      </c>
      <c r="F99" s="8"/>
      <c r="G99" s="1" t="str">
        <f t="shared" si="1"/>
        <v/>
      </c>
    </row>
    <row r="100" spans="2:7" x14ac:dyDescent="0.25">
      <c r="B100" s="1">
        <f>DATA2!$B100</f>
        <v>92</v>
      </c>
      <c r="F100" s="8"/>
      <c r="G100" s="1" t="str">
        <f t="shared" si="1"/>
        <v/>
      </c>
    </row>
    <row r="101" spans="2:7" x14ac:dyDescent="0.25">
      <c r="B101" s="1">
        <f>DATA2!$B101</f>
        <v>93</v>
      </c>
      <c r="F101" s="8"/>
      <c r="G101" s="1" t="str">
        <f t="shared" si="1"/>
        <v/>
      </c>
    </row>
    <row r="102" spans="2:7" x14ac:dyDescent="0.25">
      <c r="B102" s="1">
        <f>DATA2!$B102</f>
        <v>94</v>
      </c>
      <c r="F102" s="8"/>
      <c r="G102" s="1" t="str">
        <f t="shared" si="1"/>
        <v/>
      </c>
    </row>
    <row r="103" spans="2:7" x14ac:dyDescent="0.25">
      <c r="B103" s="1">
        <f>DATA2!$B103</f>
        <v>95</v>
      </c>
      <c r="F103" s="8"/>
      <c r="G103" s="1" t="str">
        <f t="shared" si="1"/>
        <v/>
      </c>
    </row>
    <row r="104" spans="2:7" x14ac:dyDescent="0.25">
      <c r="B104" s="1">
        <f>DATA2!$B104</f>
        <v>96</v>
      </c>
      <c r="F104" s="8"/>
      <c r="G104" s="1" t="str">
        <f t="shared" si="1"/>
        <v/>
      </c>
    </row>
    <row r="105" spans="2:7" x14ac:dyDescent="0.25">
      <c r="B105" s="1">
        <f>DATA2!$B105</f>
        <v>97</v>
      </c>
      <c r="F105" s="8"/>
      <c r="G105" s="1" t="str">
        <f t="shared" si="1"/>
        <v/>
      </c>
    </row>
    <row r="106" spans="2:7" x14ac:dyDescent="0.25">
      <c r="B106" s="1">
        <f>DATA2!$B106</f>
        <v>98</v>
      </c>
      <c r="F106" s="8"/>
      <c r="G106" s="1" t="str">
        <f t="shared" si="1"/>
        <v/>
      </c>
    </row>
    <row r="107" spans="2:7" x14ac:dyDescent="0.25">
      <c r="B107" s="1">
        <f>DATA2!$B107</f>
        <v>99</v>
      </c>
      <c r="F107" s="8"/>
      <c r="G107" s="1" t="str">
        <f t="shared" si="1"/>
        <v/>
      </c>
    </row>
    <row r="108" spans="2:7" x14ac:dyDescent="0.25">
      <c r="B108" s="1">
        <f>DATA2!$B108</f>
        <v>100</v>
      </c>
      <c r="F108" s="8"/>
      <c r="G108" s="1" t="str">
        <f t="shared" si="1"/>
        <v/>
      </c>
    </row>
    <row r="109" spans="2:7" x14ac:dyDescent="0.25">
      <c r="B109" s="1">
        <f>DATA2!$B109</f>
        <v>101</v>
      </c>
      <c r="F109" s="8"/>
      <c r="G109" s="1" t="str">
        <f t="shared" si="1"/>
        <v/>
      </c>
    </row>
    <row r="110" spans="2:7" x14ac:dyDescent="0.25">
      <c r="B110" s="1">
        <f>DATA2!$B110</f>
        <v>102</v>
      </c>
      <c r="F110" s="8"/>
      <c r="G110" s="1" t="str">
        <f t="shared" si="1"/>
        <v/>
      </c>
    </row>
    <row r="111" spans="2:7" x14ac:dyDescent="0.25">
      <c r="B111" s="1">
        <f>DATA2!$B111</f>
        <v>103</v>
      </c>
      <c r="F111" s="8"/>
      <c r="G111" s="1" t="str">
        <f t="shared" si="1"/>
        <v/>
      </c>
    </row>
    <row r="112" spans="2:7" x14ac:dyDescent="0.25">
      <c r="B112" s="1">
        <f>DATA2!$B112</f>
        <v>104</v>
      </c>
      <c r="F112" s="8"/>
      <c r="G112" s="1" t="str">
        <f t="shared" si="1"/>
        <v/>
      </c>
    </row>
    <row r="113" spans="2:7" x14ac:dyDescent="0.25">
      <c r="B113" s="1">
        <f>DATA2!$B113</f>
        <v>105</v>
      </c>
      <c r="F113" s="8"/>
      <c r="G113" s="1" t="str">
        <f t="shared" si="1"/>
        <v/>
      </c>
    </row>
    <row r="114" spans="2:7" x14ac:dyDescent="0.25">
      <c r="B114" s="1">
        <f>DATA2!$B114</f>
        <v>106</v>
      </c>
      <c r="F114" s="8"/>
      <c r="G114" s="1" t="str">
        <f t="shared" si="1"/>
        <v/>
      </c>
    </row>
    <row r="115" spans="2:7" x14ac:dyDescent="0.25">
      <c r="B115" s="1">
        <f>DATA2!$B115</f>
        <v>107</v>
      </c>
      <c r="F115" s="8"/>
      <c r="G115" s="1" t="str">
        <f t="shared" si="1"/>
        <v/>
      </c>
    </row>
    <row r="116" spans="2:7" x14ac:dyDescent="0.25">
      <c r="B116" s="1">
        <f>DATA2!$B116</f>
        <v>108</v>
      </c>
      <c r="F116" s="8"/>
      <c r="G116" s="1" t="str">
        <f t="shared" si="1"/>
        <v/>
      </c>
    </row>
    <row r="117" spans="2:7" x14ac:dyDescent="0.25">
      <c r="B117" s="1">
        <f>DATA2!$B117</f>
        <v>109</v>
      </c>
      <c r="F117" s="8"/>
      <c r="G117" s="1" t="str">
        <f t="shared" si="1"/>
        <v/>
      </c>
    </row>
    <row r="118" spans="2:7" x14ac:dyDescent="0.25">
      <c r="B118" s="1">
        <f>DATA2!$B118</f>
        <v>110</v>
      </c>
      <c r="F118" s="8"/>
      <c r="G118" s="1" t="str">
        <f t="shared" si="1"/>
        <v/>
      </c>
    </row>
    <row r="119" spans="2:7" x14ac:dyDescent="0.25">
      <c r="B119" s="1">
        <f>DATA2!$B119</f>
        <v>111</v>
      </c>
      <c r="F119" s="8"/>
      <c r="G119" s="1" t="str">
        <f t="shared" si="1"/>
        <v/>
      </c>
    </row>
    <row r="120" spans="2:7" x14ac:dyDescent="0.25">
      <c r="B120" s="1">
        <f>DATA2!$B120</f>
        <v>112</v>
      </c>
      <c r="F120" s="8"/>
      <c r="G120" s="1" t="str">
        <f t="shared" si="1"/>
        <v/>
      </c>
    </row>
    <row r="121" spans="2:7" x14ac:dyDescent="0.25">
      <c r="B121" s="1">
        <f>DATA2!$B121</f>
        <v>113</v>
      </c>
      <c r="F121" s="8"/>
      <c r="G121" s="1" t="str">
        <f t="shared" si="1"/>
        <v/>
      </c>
    </row>
    <row r="122" spans="2:7" x14ac:dyDescent="0.25">
      <c r="B122" s="1">
        <f>DATA2!$B122</f>
        <v>114</v>
      </c>
      <c r="F122" s="8"/>
      <c r="G122" s="1" t="str">
        <f t="shared" si="1"/>
        <v/>
      </c>
    </row>
    <row r="123" spans="2:7" x14ac:dyDescent="0.25">
      <c r="B123" s="1">
        <f>DATA2!$B123</f>
        <v>0</v>
      </c>
      <c r="G123" s="1" t="str">
        <f t="shared" si="1"/>
        <v/>
      </c>
    </row>
    <row r="124" spans="2:7" x14ac:dyDescent="0.25">
      <c r="B124" s="1">
        <f>DATA2!$B124</f>
        <v>0</v>
      </c>
      <c r="G124" s="1" t="str">
        <f t="shared" si="1"/>
        <v/>
      </c>
    </row>
    <row r="125" spans="2:7" x14ac:dyDescent="0.25">
      <c r="B125" s="1">
        <f>DATA2!$B125</f>
        <v>0</v>
      </c>
      <c r="G125" s="1" t="str">
        <f t="shared" si="1"/>
        <v/>
      </c>
    </row>
    <row r="126" spans="2:7" x14ac:dyDescent="0.25">
      <c r="B126" s="1">
        <f>DATA2!$B126</f>
        <v>0</v>
      </c>
      <c r="G126" s="1" t="str">
        <f t="shared" si="1"/>
        <v/>
      </c>
    </row>
    <row r="127" spans="2:7" x14ac:dyDescent="0.25">
      <c r="B127" s="1">
        <f>DATA2!$B127</f>
        <v>0</v>
      </c>
      <c r="G127" s="1" t="str">
        <f t="shared" si="1"/>
        <v/>
      </c>
    </row>
    <row r="128" spans="2:7" x14ac:dyDescent="0.25">
      <c r="B128" s="1">
        <f>DATA2!$B128</f>
        <v>0</v>
      </c>
      <c r="G128" s="1" t="str">
        <f t="shared" si="1"/>
        <v/>
      </c>
    </row>
    <row r="129" spans="2:7" x14ac:dyDescent="0.25">
      <c r="B129" s="1">
        <f>DATA2!$B129</f>
        <v>0</v>
      </c>
      <c r="G129" s="1" t="str">
        <f t="shared" si="1"/>
        <v/>
      </c>
    </row>
    <row r="130" spans="2:7" x14ac:dyDescent="0.25">
      <c r="B130" s="1">
        <f>DATA2!$B130</f>
        <v>0</v>
      </c>
      <c r="G130" s="1" t="str">
        <f t="shared" si="1"/>
        <v/>
      </c>
    </row>
    <row r="131" spans="2:7" x14ac:dyDescent="0.25">
      <c r="B131" s="1">
        <f>DATA2!$B131</f>
        <v>0</v>
      </c>
      <c r="G131" s="1" t="str">
        <f t="shared" si="1"/>
        <v/>
      </c>
    </row>
    <row r="132" spans="2:7" x14ac:dyDescent="0.25">
      <c r="B132" s="1">
        <f>DATA2!$B132</f>
        <v>0</v>
      </c>
      <c r="G132" s="1" t="str">
        <f t="shared" si="1"/>
        <v/>
      </c>
    </row>
    <row r="133" spans="2:7" x14ac:dyDescent="0.25">
      <c r="B133" s="1">
        <f>DATA2!$B133</f>
        <v>0</v>
      </c>
      <c r="G133" s="1" t="str">
        <f t="shared" si="1"/>
        <v/>
      </c>
    </row>
    <row r="134" spans="2:7" x14ac:dyDescent="0.25">
      <c r="B134" s="1">
        <f>DATA2!$B134</f>
        <v>0</v>
      </c>
      <c r="G134" s="1" t="str">
        <f t="shared" si="1"/>
        <v/>
      </c>
    </row>
    <row r="135" spans="2:7" x14ac:dyDescent="0.25">
      <c r="B135" s="1">
        <f>DATA2!$B135</f>
        <v>0</v>
      </c>
      <c r="G135" s="1" t="str">
        <f t="shared" si="1"/>
        <v/>
      </c>
    </row>
    <row r="136" spans="2:7" x14ac:dyDescent="0.25">
      <c r="B136" s="1">
        <f>DATA2!$B136</f>
        <v>0</v>
      </c>
      <c r="G136" s="1" t="str">
        <f t="shared" si="1"/>
        <v/>
      </c>
    </row>
    <row r="137" spans="2:7" x14ac:dyDescent="0.25">
      <c r="B137" s="1">
        <f>DATA2!$B137</f>
        <v>0</v>
      </c>
      <c r="G137" s="1" t="str">
        <f t="shared" ref="G137:G200" si="2">IF(LEN(C137) + LEN(D137) + LEN(E137)  + LEN(F137)&gt; 0, TEXT(MAX(C137:F137),"mm/dd/yyyy hh:mm"),"")</f>
        <v/>
      </c>
    </row>
    <row r="138" spans="2:7" x14ac:dyDescent="0.25">
      <c r="B138" s="1">
        <f>DATA2!$B138</f>
        <v>0</v>
      </c>
      <c r="G138" s="1" t="str">
        <f t="shared" si="2"/>
        <v/>
      </c>
    </row>
    <row r="139" spans="2:7" x14ac:dyDescent="0.25">
      <c r="B139" s="1">
        <f>DATA2!$B139</f>
        <v>0</v>
      </c>
      <c r="G139" s="1" t="str">
        <f t="shared" si="2"/>
        <v/>
      </c>
    </row>
    <row r="140" spans="2:7" x14ac:dyDescent="0.25">
      <c r="B140" s="1">
        <f>DATA2!$B140</f>
        <v>0</v>
      </c>
      <c r="G140" s="1" t="str">
        <f t="shared" si="2"/>
        <v/>
      </c>
    </row>
    <row r="141" spans="2:7" x14ac:dyDescent="0.25">
      <c r="B141" s="1">
        <f>DATA2!$B141</f>
        <v>0</v>
      </c>
      <c r="G141" s="1" t="str">
        <f t="shared" si="2"/>
        <v/>
      </c>
    </row>
    <row r="142" spans="2:7" x14ac:dyDescent="0.25">
      <c r="B142" s="1">
        <f>DATA2!$B142</f>
        <v>0</v>
      </c>
      <c r="G142" s="1" t="str">
        <f t="shared" si="2"/>
        <v/>
      </c>
    </row>
    <row r="143" spans="2:7" x14ac:dyDescent="0.25">
      <c r="B143" s="1">
        <f>DATA2!$B143</f>
        <v>0</v>
      </c>
      <c r="G143" s="1" t="str">
        <f t="shared" si="2"/>
        <v/>
      </c>
    </row>
    <row r="144" spans="2:7" x14ac:dyDescent="0.25">
      <c r="B144" s="1">
        <f>DATA2!$B144</f>
        <v>0</v>
      </c>
      <c r="G144" s="1" t="str">
        <f t="shared" si="2"/>
        <v/>
      </c>
    </row>
    <row r="145" spans="2:7" x14ac:dyDescent="0.25">
      <c r="B145" s="1">
        <f>DATA2!$B145</f>
        <v>0</v>
      </c>
      <c r="G145" s="1" t="str">
        <f t="shared" si="2"/>
        <v/>
      </c>
    </row>
    <row r="146" spans="2:7" x14ac:dyDescent="0.25">
      <c r="B146" s="1">
        <f>DATA2!$B146</f>
        <v>0</v>
      </c>
      <c r="G146" s="1" t="str">
        <f t="shared" si="2"/>
        <v/>
      </c>
    </row>
    <row r="147" spans="2:7" x14ac:dyDescent="0.25">
      <c r="B147" s="1">
        <f>DATA2!$B147</f>
        <v>0</v>
      </c>
      <c r="G147" s="1" t="str">
        <f t="shared" si="2"/>
        <v/>
      </c>
    </row>
    <row r="148" spans="2:7" x14ac:dyDescent="0.25">
      <c r="B148" s="1">
        <f>DATA2!$B148</f>
        <v>0</v>
      </c>
      <c r="G148" s="1" t="str">
        <f t="shared" si="2"/>
        <v/>
      </c>
    </row>
    <row r="149" spans="2:7" x14ac:dyDescent="0.25">
      <c r="B149" s="1">
        <f>DATA2!$B149</f>
        <v>0</v>
      </c>
      <c r="G149" s="1" t="str">
        <f t="shared" si="2"/>
        <v/>
      </c>
    </row>
    <row r="150" spans="2:7" x14ac:dyDescent="0.25">
      <c r="B150" s="1">
        <f>DATA2!$B150</f>
        <v>0</v>
      </c>
      <c r="G150" s="1" t="str">
        <f t="shared" si="2"/>
        <v/>
      </c>
    </row>
    <row r="151" spans="2:7" x14ac:dyDescent="0.25">
      <c r="B151" s="1">
        <f>DATA2!$B151</f>
        <v>0</v>
      </c>
      <c r="G151" s="1" t="str">
        <f t="shared" si="2"/>
        <v/>
      </c>
    </row>
    <row r="152" spans="2:7" x14ac:dyDescent="0.25">
      <c r="B152" s="1">
        <f>DATA2!$B152</f>
        <v>0</v>
      </c>
      <c r="G152" s="1" t="str">
        <f t="shared" si="2"/>
        <v/>
      </c>
    </row>
    <row r="153" spans="2:7" x14ac:dyDescent="0.25">
      <c r="B153" s="1">
        <f>DATA2!$B153</f>
        <v>0</v>
      </c>
      <c r="G153" s="1" t="str">
        <f t="shared" si="2"/>
        <v/>
      </c>
    </row>
    <row r="154" spans="2:7" x14ac:dyDescent="0.25">
      <c r="B154" s="1">
        <f>DATA2!$B154</f>
        <v>0</v>
      </c>
      <c r="G154" s="1" t="str">
        <f t="shared" si="2"/>
        <v/>
      </c>
    </row>
    <row r="155" spans="2:7" x14ac:dyDescent="0.25">
      <c r="B155" s="1">
        <f>DATA2!$B155</f>
        <v>0</v>
      </c>
      <c r="G155" s="1" t="str">
        <f t="shared" si="2"/>
        <v/>
      </c>
    </row>
    <row r="156" spans="2:7" x14ac:dyDescent="0.25">
      <c r="B156" s="1">
        <f>DATA2!$B156</f>
        <v>0</v>
      </c>
      <c r="G156" s="1" t="str">
        <f t="shared" si="2"/>
        <v/>
      </c>
    </row>
    <row r="157" spans="2:7" x14ac:dyDescent="0.25">
      <c r="B157" s="1">
        <f>DATA2!$B157</f>
        <v>0</v>
      </c>
      <c r="G157" s="1" t="str">
        <f t="shared" si="2"/>
        <v/>
      </c>
    </row>
    <row r="158" spans="2:7" x14ac:dyDescent="0.25">
      <c r="B158" s="1">
        <f>DATA2!$B158</f>
        <v>0</v>
      </c>
      <c r="G158" s="1" t="str">
        <f t="shared" si="2"/>
        <v/>
      </c>
    </row>
    <row r="159" spans="2:7" x14ac:dyDescent="0.25">
      <c r="B159" s="1">
        <f>DATA2!$B159</f>
        <v>0</v>
      </c>
      <c r="G159" s="1" t="str">
        <f t="shared" si="2"/>
        <v/>
      </c>
    </row>
    <row r="160" spans="2:7" x14ac:dyDescent="0.25">
      <c r="B160" s="1">
        <f>DATA2!$B160</f>
        <v>0</v>
      </c>
      <c r="G160" s="1" t="str">
        <f t="shared" si="2"/>
        <v/>
      </c>
    </row>
    <row r="161" spans="2:7" x14ac:dyDescent="0.25">
      <c r="B161" s="1">
        <f>DATA2!$B161</f>
        <v>0</v>
      </c>
      <c r="G161" s="1" t="str">
        <f t="shared" si="2"/>
        <v/>
      </c>
    </row>
    <row r="162" spans="2:7" x14ac:dyDescent="0.25">
      <c r="B162" s="1">
        <f>DATA2!$B162</f>
        <v>0</v>
      </c>
      <c r="G162" s="1" t="str">
        <f t="shared" si="2"/>
        <v/>
      </c>
    </row>
    <row r="163" spans="2:7" x14ac:dyDescent="0.25">
      <c r="B163" s="1">
        <f>DATA2!$B163</f>
        <v>0</v>
      </c>
      <c r="G163" s="1" t="str">
        <f t="shared" si="2"/>
        <v/>
      </c>
    </row>
    <row r="164" spans="2:7" x14ac:dyDescent="0.25">
      <c r="B164" s="1">
        <f>DATA2!$B164</f>
        <v>0</v>
      </c>
      <c r="G164" s="1" t="str">
        <f t="shared" si="2"/>
        <v/>
      </c>
    </row>
    <row r="165" spans="2:7" x14ac:dyDescent="0.25">
      <c r="B165" s="1">
        <f>DATA2!$B165</f>
        <v>0</v>
      </c>
      <c r="G165" s="1" t="str">
        <f t="shared" si="2"/>
        <v/>
      </c>
    </row>
    <row r="166" spans="2:7" x14ac:dyDescent="0.25">
      <c r="B166" s="1">
        <f>DATA2!$B166</f>
        <v>0</v>
      </c>
      <c r="G166" s="1" t="str">
        <f t="shared" si="2"/>
        <v/>
      </c>
    </row>
    <row r="167" spans="2:7" x14ac:dyDescent="0.25">
      <c r="B167" s="1">
        <f>DATA2!$B167</f>
        <v>0</v>
      </c>
      <c r="G167" s="1" t="str">
        <f t="shared" si="2"/>
        <v/>
      </c>
    </row>
    <row r="168" spans="2:7" x14ac:dyDescent="0.25">
      <c r="B168" s="1">
        <f>DATA2!$B168</f>
        <v>0</v>
      </c>
      <c r="G168" s="1" t="str">
        <f t="shared" si="2"/>
        <v/>
      </c>
    </row>
    <row r="169" spans="2:7" x14ac:dyDescent="0.25">
      <c r="B169" s="1">
        <f>DATA2!$B169</f>
        <v>0</v>
      </c>
      <c r="G169" s="1" t="str">
        <f t="shared" si="2"/>
        <v/>
      </c>
    </row>
    <row r="170" spans="2:7" x14ac:dyDescent="0.25">
      <c r="B170" s="1">
        <f>DATA2!$B170</f>
        <v>0</v>
      </c>
      <c r="G170" s="1" t="str">
        <f t="shared" si="2"/>
        <v/>
      </c>
    </row>
    <row r="171" spans="2:7" x14ac:dyDescent="0.25">
      <c r="B171" s="1">
        <f>DATA2!$B171</f>
        <v>0</v>
      </c>
      <c r="G171" s="1" t="str">
        <f t="shared" si="2"/>
        <v/>
      </c>
    </row>
    <row r="172" spans="2:7" x14ac:dyDescent="0.25">
      <c r="B172" s="1">
        <f>DATA2!$B172</f>
        <v>0</v>
      </c>
      <c r="G172" s="1" t="str">
        <f t="shared" si="2"/>
        <v/>
      </c>
    </row>
    <row r="173" spans="2:7" x14ac:dyDescent="0.25">
      <c r="B173" s="1">
        <f>DATA2!$B173</f>
        <v>0</v>
      </c>
      <c r="G173" s="1" t="str">
        <f t="shared" si="2"/>
        <v/>
      </c>
    </row>
    <row r="174" spans="2:7" x14ac:dyDescent="0.25">
      <c r="B174" s="1">
        <f>DATA2!$B174</f>
        <v>0</v>
      </c>
      <c r="G174" s="1" t="str">
        <f t="shared" si="2"/>
        <v/>
      </c>
    </row>
    <row r="175" spans="2:7" x14ac:dyDescent="0.25">
      <c r="B175" s="1">
        <f>DATA2!$B175</f>
        <v>0</v>
      </c>
      <c r="G175" s="1" t="str">
        <f t="shared" si="2"/>
        <v/>
      </c>
    </row>
    <row r="176" spans="2:7" x14ac:dyDescent="0.25">
      <c r="B176" s="1">
        <f>DATA2!$B176</f>
        <v>0</v>
      </c>
      <c r="G176" s="1" t="str">
        <f t="shared" si="2"/>
        <v/>
      </c>
    </row>
    <row r="177" spans="2:7" x14ac:dyDescent="0.25">
      <c r="B177" s="1">
        <f>DATA2!$B177</f>
        <v>0</v>
      </c>
      <c r="G177" s="1" t="str">
        <f t="shared" si="2"/>
        <v/>
      </c>
    </row>
    <row r="178" spans="2:7" x14ac:dyDescent="0.25">
      <c r="B178" s="1">
        <f>DATA2!$B178</f>
        <v>0</v>
      </c>
      <c r="G178" s="1" t="str">
        <f t="shared" si="2"/>
        <v/>
      </c>
    </row>
    <row r="179" spans="2:7" x14ac:dyDescent="0.25">
      <c r="B179" s="1">
        <f>DATA2!$B179</f>
        <v>0</v>
      </c>
      <c r="G179" s="1" t="str">
        <f t="shared" si="2"/>
        <v/>
      </c>
    </row>
    <row r="180" spans="2:7" x14ac:dyDescent="0.25">
      <c r="B180" s="1">
        <f>DATA2!$B180</f>
        <v>0</v>
      </c>
      <c r="G180" s="1" t="str">
        <f t="shared" si="2"/>
        <v/>
      </c>
    </row>
    <row r="181" spans="2:7" x14ac:dyDescent="0.25">
      <c r="B181" s="1">
        <f>DATA2!$B181</f>
        <v>0</v>
      </c>
      <c r="G181" s="1" t="str">
        <f t="shared" si="2"/>
        <v/>
      </c>
    </row>
    <row r="182" spans="2:7" x14ac:dyDescent="0.25">
      <c r="B182" s="1">
        <f>DATA2!$B182</f>
        <v>0</v>
      </c>
      <c r="G182" s="1" t="str">
        <f t="shared" si="2"/>
        <v/>
      </c>
    </row>
    <row r="183" spans="2:7" x14ac:dyDescent="0.25">
      <c r="B183" s="1">
        <f>DATA2!$B183</f>
        <v>0</v>
      </c>
      <c r="G183" s="1" t="str">
        <f t="shared" si="2"/>
        <v/>
      </c>
    </row>
    <row r="184" spans="2:7" x14ac:dyDescent="0.25">
      <c r="B184" s="1">
        <f>DATA2!$B184</f>
        <v>0</v>
      </c>
      <c r="G184" s="1" t="str">
        <f t="shared" si="2"/>
        <v/>
      </c>
    </row>
    <row r="185" spans="2:7" x14ac:dyDescent="0.25">
      <c r="B185" s="1">
        <f>DATA2!$B185</f>
        <v>0</v>
      </c>
      <c r="G185" s="1" t="str">
        <f t="shared" si="2"/>
        <v/>
      </c>
    </row>
    <row r="186" spans="2:7" x14ac:dyDescent="0.25">
      <c r="B186" s="1">
        <f>DATA2!$B186</f>
        <v>0</v>
      </c>
      <c r="G186" s="1" t="str">
        <f t="shared" si="2"/>
        <v/>
      </c>
    </row>
    <row r="187" spans="2:7" x14ac:dyDescent="0.25">
      <c r="B187" s="1">
        <f>DATA2!$B187</f>
        <v>0</v>
      </c>
      <c r="G187" s="1" t="str">
        <f t="shared" si="2"/>
        <v/>
      </c>
    </row>
    <row r="188" spans="2:7" x14ac:dyDescent="0.25">
      <c r="B188" s="1">
        <f>DATA2!$B188</f>
        <v>0</v>
      </c>
      <c r="G188" s="1" t="str">
        <f t="shared" si="2"/>
        <v/>
      </c>
    </row>
    <row r="189" spans="2:7" x14ac:dyDescent="0.25">
      <c r="B189" s="1">
        <f>DATA2!$B189</f>
        <v>0</v>
      </c>
      <c r="G189" s="1" t="str">
        <f t="shared" si="2"/>
        <v/>
      </c>
    </row>
    <row r="190" spans="2:7" x14ac:dyDescent="0.25">
      <c r="B190" s="1">
        <f>DATA2!$B190</f>
        <v>0</v>
      </c>
      <c r="G190" s="1" t="str">
        <f t="shared" si="2"/>
        <v/>
      </c>
    </row>
    <row r="191" spans="2:7" x14ac:dyDescent="0.25">
      <c r="B191" s="1">
        <f>DATA2!$B191</f>
        <v>0</v>
      </c>
      <c r="G191" s="1" t="str">
        <f t="shared" si="2"/>
        <v/>
      </c>
    </row>
    <row r="192" spans="2:7" x14ac:dyDescent="0.25">
      <c r="B192" s="1">
        <f>DATA2!$B192</f>
        <v>0</v>
      </c>
      <c r="G192" s="1" t="str">
        <f t="shared" si="2"/>
        <v/>
      </c>
    </row>
    <row r="193" spans="2:7" x14ac:dyDescent="0.25">
      <c r="B193" s="1">
        <f>DATA2!$B193</f>
        <v>0</v>
      </c>
      <c r="G193" s="1" t="str">
        <f t="shared" si="2"/>
        <v/>
      </c>
    </row>
    <row r="194" spans="2:7" x14ac:dyDescent="0.25">
      <c r="B194" s="1">
        <f>DATA2!$B194</f>
        <v>0</v>
      </c>
      <c r="G194" s="1" t="str">
        <f t="shared" si="2"/>
        <v/>
      </c>
    </row>
    <row r="195" spans="2:7" x14ac:dyDescent="0.25">
      <c r="B195" s="1">
        <f>DATA2!$B195</f>
        <v>0</v>
      </c>
      <c r="G195" s="1" t="str">
        <f t="shared" si="2"/>
        <v/>
      </c>
    </row>
    <row r="196" spans="2:7" x14ac:dyDescent="0.25">
      <c r="B196" s="1">
        <f>DATA2!$B196</f>
        <v>0</v>
      </c>
      <c r="G196" s="1" t="str">
        <f t="shared" si="2"/>
        <v/>
      </c>
    </row>
    <row r="197" spans="2:7" x14ac:dyDescent="0.25">
      <c r="B197" s="1">
        <f>DATA2!$B197</f>
        <v>0</v>
      </c>
      <c r="G197" s="1" t="str">
        <f t="shared" si="2"/>
        <v/>
      </c>
    </row>
    <row r="198" spans="2:7" x14ac:dyDescent="0.25">
      <c r="B198" s="1">
        <f>DATA2!$B198</f>
        <v>0</v>
      </c>
      <c r="G198" s="1" t="str">
        <f t="shared" si="2"/>
        <v/>
      </c>
    </row>
    <row r="199" spans="2:7" x14ac:dyDescent="0.25">
      <c r="B199" s="1">
        <f>DATA2!$B199</f>
        <v>0</v>
      </c>
      <c r="G199" s="1" t="str">
        <f t="shared" si="2"/>
        <v/>
      </c>
    </row>
    <row r="200" spans="2:7" x14ac:dyDescent="0.25">
      <c r="B200" s="1">
        <f>DATA2!$B200</f>
        <v>0</v>
      </c>
      <c r="G200" s="1" t="str">
        <f t="shared" si="2"/>
        <v/>
      </c>
    </row>
    <row r="201" spans="2:7" x14ac:dyDescent="0.25">
      <c r="B201" s="1">
        <f>DATA2!$B201</f>
        <v>0</v>
      </c>
      <c r="G201" s="1" t="str">
        <f t="shared" ref="G201:G264" si="3">IF(LEN(C201) + LEN(D201) + LEN(E201)  + LEN(F201)&gt; 0, TEXT(MAX(C201:F201),"mm/dd/yyyy hh:mm"),"")</f>
        <v/>
      </c>
    </row>
    <row r="202" spans="2:7" x14ac:dyDescent="0.25">
      <c r="B202" s="1">
        <f>DATA2!$B202</f>
        <v>0</v>
      </c>
      <c r="G202" s="1" t="str">
        <f t="shared" si="3"/>
        <v/>
      </c>
    </row>
    <row r="203" spans="2:7" x14ac:dyDescent="0.25">
      <c r="B203" s="1">
        <f>DATA2!$B203</f>
        <v>0</v>
      </c>
      <c r="G203" s="1" t="str">
        <f t="shared" si="3"/>
        <v/>
      </c>
    </row>
    <row r="204" spans="2:7" x14ac:dyDescent="0.25">
      <c r="B204" s="1">
        <f>DATA2!$B204</f>
        <v>0</v>
      </c>
      <c r="G204" s="1" t="str">
        <f t="shared" si="3"/>
        <v/>
      </c>
    </row>
    <row r="205" spans="2:7" x14ac:dyDescent="0.25">
      <c r="B205" s="1">
        <f>DATA2!$B205</f>
        <v>0</v>
      </c>
      <c r="G205" s="1" t="str">
        <f t="shared" si="3"/>
        <v/>
      </c>
    </row>
    <row r="206" spans="2:7" x14ac:dyDescent="0.25">
      <c r="B206" s="1">
        <f>DATA2!$B206</f>
        <v>0</v>
      </c>
      <c r="G206" s="1" t="str">
        <f t="shared" si="3"/>
        <v/>
      </c>
    </row>
    <row r="207" spans="2:7" x14ac:dyDescent="0.25">
      <c r="B207" s="1">
        <f>DATA2!$B207</f>
        <v>0</v>
      </c>
      <c r="G207" s="1" t="str">
        <f t="shared" si="3"/>
        <v/>
      </c>
    </row>
    <row r="208" spans="2:7" x14ac:dyDescent="0.25">
      <c r="B208" s="1">
        <f>DATA2!$B208</f>
        <v>0</v>
      </c>
      <c r="G208" s="1" t="str">
        <f t="shared" si="3"/>
        <v/>
      </c>
    </row>
    <row r="209" spans="2:7" x14ac:dyDescent="0.25">
      <c r="B209" s="1">
        <f>DATA2!$B209</f>
        <v>0</v>
      </c>
      <c r="G209" s="1" t="str">
        <f t="shared" si="3"/>
        <v/>
      </c>
    </row>
    <row r="210" spans="2:7" x14ac:dyDescent="0.25">
      <c r="B210" s="1">
        <f>DATA2!$B210</f>
        <v>0</v>
      </c>
      <c r="G210" s="1" t="str">
        <f t="shared" si="3"/>
        <v/>
      </c>
    </row>
    <row r="211" spans="2:7" x14ac:dyDescent="0.25">
      <c r="B211" s="1">
        <f>DATA2!$B211</f>
        <v>0</v>
      </c>
      <c r="G211" s="1" t="str">
        <f t="shared" si="3"/>
        <v/>
      </c>
    </row>
    <row r="212" spans="2:7" x14ac:dyDescent="0.25">
      <c r="B212" s="1">
        <f>DATA2!$B212</f>
        <v>0</v>
      </c>
      <c r="G212" s="1" t="str">
        <f t="shared" si="3"/>
        <v/>
      </c>
    </row>
    <row r="213" spans="2:7" x14ac:dyDescent="0.25">
      <c r="B213" s="1">
        <f>DATA2!$B213</f>
        <v>0</v>
      </c>
      <c r="G213" s="1" t="str">
        <f t="shared" si="3"/>
        <v/>
      </c>
    </row>
    <row r="214" spans="2:7" x14ac:dyDescent="0.25">
      <c r="B214" s="1">
        <f>DATA2!$B214</f>
        <v>0</v>
      </c>
      <c r="G214" s="1" t="str">
        <f t="shared" si="3"/>
        <v/>
      </c>
    </row>
    <row r="215" spans="2:7" x14ac:dyDescent="0.25">
      <c r="B215" s="1">
        <f>DATA2!$B215</f>
        <v>0</v>
      </c>
      <c r="G215" s="1" t="str">
        <f t="shared" si="3"/>
        <v/>
      </c>
    </row>
    <row r="216" spans="2:7" x14ac:dyDescent="0.25">
      <c r="B216" s="1">
        <f>DATA2!$B216</f>
        <v>0</v>
      </c>
      <c r="G216" s="1" t="str">
        <f t="shared" si="3"/>
        <v/>
      </c>
    </row>
    <row r="217" spans="2:7" x14ac:dyDescent="0.25">
      <c r="B217" s="1">
        <f>DATA2!$B217</f>
        <v>0</v>
      </c>
      <c r="G217" s="1" t="str">
        <f t="shared" si="3"/>
        <v/>
      </c>
    </row>
    <row r="218" spans="2:7" x14ac:dyDescent="0.25">
      <c r="B218" s="1">
        <f>DATA2!$B218</f>
        <v>0</v>
      </c>
      <c r="G218" s="1" t="str">
        <f t="shared" si="3"/>
        <v/>
      </c>
    </row>
    <row r="219" spans="2:7" x14ac:dyDescent="0.25">
      <c r="B219" s="1">
        <f>DATA2!$B219</f>
        <v>0</v>
      </c>
      <c r="G219" s="1" t="str">
        <f t="shared" si="3"/>
        <v/>
      </c>
    </row>
    <row r="220" spans="2:7" x14ac:dyDescent="0.25">
      <c r="B220" s="1">
        <f>DATA2!$B220</f>
        <v>0</v>
      </c>
      <c r="G220" s="1" t="str">
        <f t="shared" si="3"/>
        <v/>
      </c>
    </row>
    <row r="221" spans="2:7" x14ac:dyDescent="0.25">
      <c r="B221" s="1">
        <f>DATA2!$B221</f>
        <v>0</v>
      </c>
      <c r="G221" s="1" t="str">
        <f t="shared" si="3"/>
        <v/>
      </c>
    </row>
    <row r="222" spans="2:7" x14ac:dyDescent="0.25">
      <c r="B222" s="1">
        <f>DATA2!$B222</f>
        <v>0</v>
      </c>
      <c r="G222" s="1" t="str">
        <f t="shared" si="3"/>
        <v/>
      </c>
    </row>
    <row r="223" spans="2:7" x14ac:dyDescent="0.25">
      <c r="B223" s="1">
        <f>DATA2!$B223</f>
        <v>0</v>
      </c>
      <c r="G223" s="1" t="str">
        <f t="shared" si="3"/>
        <v/>
      </c>
    </row>
    <row r="224" spans="2:7" x14ac:dyDescent="0.25">
      <c r="B224" s="1">
        <f>DATA2!$B224</f>
        <v>0</v>
      </c>
      <c r="G224" s="1" t="str">
        <f t="shared" si="3"/>
        <v/>
      </c>
    </row>
    <row r="225" spans="2:7" x14ac:dyDescent="0.25">
      <c r="B225" s="1">
        <f>DATA2!$B225</f>
        <v>0</v>
      </c>
      <c r="G225" s="1" t="str">
        <f t="shared" si="3"/>
        <v/>
      </c>
    </row>
    <row r="226" spans="2:7" x14ac:dyDescent="0.25">
      <c r="B226" s="1">
        <f>DATA2!$B226</f>
        <v>0</v>
      </c>
      <c r="G226" s="1" t="str">
        <f t="shared" si="3"/>
        <v/>
      </c>
    </row>
    <row r="227" spans="2:7" x14ac:dyDescent="0.25">
      <c r="B227" s="1">
        <f>DATA2!$B227</f>
        <v>0</v>
      </c>
      <c r="G227" s="1" t="str">
        <f t="shared" si="3"/>
        <v/>
      </c>
    </row>
    <row r="228" spans="2:7" x14ac:dyDescent="0.25">
      <c r="B228" s="1">
        <f>DATA2!$B228</f>
        <v>0</v>
      </c>
      <c r="G228" s="1" t="str">
        <f t="shared" si="3"/>
        <v/>
      </c>
    </row>
    <row r="229" spans="2:7" x14ac:dyDescent="0.25">
      <c r="B229" s="1">
        <f>DATA2!$B229</f>
        <v>0</v>
      </c>
      <c r="G229" s="1" t="str">
        <f t="shared" si="3"/>
        <v/>
      </c>
    </row>
    <row r="230" spans="2:7" x14ac:dyDescent="0.25">
      <c r="B230" s="1">
        <f>DATA2!$B230</f>
        <v>0</v>
      </c>
      <c r="G230" s="1" t="str">
        <f t="shared" si="3"/>
        <v/>
      </c>
    </row>
    <row r="231" spans="2:7" x14ac:dyDescent="0.25">
      <c r="B231" s="1">
        <f>DATA2!$B231</f>
        <v>0</v>
      </c>
      <c r="G231" s="1" t="str">
        <f t="shared" si="3"/>
        <v/>
      </c>
    </row>
    <row r="232" spans="2:7" x14ac:dyDescent="0.25">
      <c r="B232" s="1">
        <f>DATA2!$B232</f>
        <v>0</v>
      </c>
      <c r="G232" s="1" t="str">
        <f t="shared" si="3"/>
        <v/>
      </c>
    </row>
    <row r="233" spans="2:7" x14ac:dyDescent="0.25">
      <c r="B233" s="1">
        <f>DATA2!$B233</f>
        <v>0</v>
      </c>
      <c r="G233" s="1" t="str">
        <f t="shared" si="3"/>
        <v/>
      </c>
    </row>
    <row r="234" spans="2:7" x14ac:dyDescent="0.25">
      <c r="B234" s="1">
        <f>DATA2!$B234</f>
        <v>0</v>
      </c>
      <c r="G234" s="1" t="str">
        <f t="shared" si="3"/>
        <v/>
      </c>
    </row>
    <row r="235" spans="2:7" x14ac:dyDescent="0.25">
      <c r="B235" s="1">
        <f>DATA2!$B235</f>
        <v>0</v>
      </c>
      <c r="G235" s="1" t="str">
        <f t="shared" si="3"/>
        <v/>
      </c>
    </row>
    <row r="236" spans="2:7" x14ac:dyDescent="0.25">
      <c r="B236" s="1">
        <f>DATA2!$B236</f>
        <v>0</v>
      </c>
      <c r="G236" s="1" t="str">
        <f t="shared" si="3"/>
        <v/>
      </c>
    </row>
    <row r="237" spans="2:7" x14ac:dyDescent="0.25">
      <c r="B237" s="1">
        <f>DATA2!$B237</f>
        <v>0</v>
      </c>
      <c r="G237" s="1" t="str">
        <f t="shared" si="3"/>
        <v/>
      </c>
    </row>
    <row r="238" spans="2:7" x14ac:dyDescent="0.25">
      <c r="B238" s="1">
        <f>DATA2!$B238</f>
        <v>0</v>
      </c>
      <c r="G238" s="1" t="str">
        <f t="shared" si="3"/>
        <v/>
      </c>
    </row>
    <row r="239" spans="2:7" x14ac:dyDescent="0.25">
      <c r="B239" s="1">
        <f>DATA2!$B239</f>
        <v>0</v>
      </c>
      <c r="G239" s="1" t="str">
        <f t="shared" si="3"/>
        <v/>
      </c>
    </row>
    <row r="240" spans="2:7" x14ac:dyDescent="0.25">
      <c r="B240" s="1">
        <f>DATA2!$B240</f>
        <v>0</v>
      </c>
      <c r="G240" s="1" t="str">
        <f t="shared" si="3"/>
        <v/>
      </c>
    </row>
    <row r="241" spans="2:7" x14ac:dyDescent="0.25">
      <c r="B241" s="1">
        <f>DATA2!$B241</f>
        <v>0</v>
      </c>
      <c r="G241" s="1" t="str">
        <f t="shared" si="3"/>
        <v/>
      </c>
    </row>
    <row r="242" spans="2:7" x14ac:dyDescent="0.25">
      <c r="B242" s="1">
        <f>DATA2!$B242</f>
        <v>0</v>
      </c>
      <c r="G242" s="1" t="str">
        <f t="shared" si="3"/>
        <v/>
      </c>
    </row>
    <row r="243" spans="2:7" x14ac:dyDescent="0.25">
      <c r="B243" s="1">
        <f>DATA2!$B243</f>
        <v>0</v>
      </c>
      <c r="G243" s="1" t="str">
        <f t="shared" si="3"/>
        <v/>
      </c>
    </row>
    <row r="244" spans="2:7" x14ac:dyDescent="0.25">
      <c r="B244" s="1">
        <f>DATA2!$B244</f>
        <v>0</v>
      </c>
      <c r="G244" s="1" t="str">
        <f t="shared" si="3"/>
        <v/>
      </c>
    </row>
    <row r="245" spans="2:7" x14ac:dyDescent="0.25">
      <c r="B245" s="1">
        <f>DATA2!$B245</f>
        <v>0</v>
      </c>
      <c r="G245" s="1" t="str">
        <f t="shared" si="3"/>
        <v/>
      </c>
    </row>
    <row r="246" spans="2:7" x14ac:dyDescent="0.25">
      <c r="B246" s="1">
        <f>DATA2!$B246</f>
        <v>0</v>
      </c>
      <c r="G246" s="1" t="str">
        <f t="shared" si="3"/>
        <v/>
      </c>
    </row>
    <row r="247" spans="2:7" x14ac:dyDescent="0.25">
      <c r="B247" s="1">
        <f>DATA2!$B247</f>
        <v>0</v>
      </c>
      <c r="G247" s="1" t="str">
        <f t="shared" si="3"/>
        <v/>
      </c>
    </row>
    <row r="248" spans="2:7" x14ac:dyDescent="0.25">
      <c r="B248" s="1">
        <f>DATA2!$B248</f>
        <v>0</v>
      </c>
      <c r="G248" s="1" t="str">
        <f t="shared" si="3"/>
        <v/>
      </c>
    </row>
    <row r="249" spans="2:7" x14ac:dyDescent="0.25">
      <c r="B249" s="1">
        <f>DATA2!$B249</f>
        <v>0</v>
      </c>
      <c r="G249" s="1" t="str">
        <f t="shared" si="3"/>
        <v/>
      </c>
    </row>
    <row r="250" spans="2:7" x14ac:dyDescent="0.25">
      <c r="B250" s="1">
        <f>DATA2!$B250</f>
        <v>0</v>
      </c>
      <c r="G250" s="1" t="str">
        <f t="shared" si="3"/>
        <v/>
      </c>
    </row>
    <row r="251" spans="2:7" x14ac:dyDescent="0.25">
      <c r="B251" s="1">
        <f>DATA2!$B251</f>
        <v>0</v>
      </c>
      <c r="G251" s="1" t="str">
        <f t="shared" si="3"/>
        <v/>
      </c>
    </row>
    <row r="252" spans="2:7" x14ac:dyDescent="0.25">
      <c r="B252" s="1">
        <f>DATA2!$B252</f>
        <v>0</v>
      </c>
      <c r="G252" s="1" t="str">
        <f t="shared" si="3"/>
        <v/>
      </c>
    </row>
    <row r="253" spans="2:7" x14ac:dyDescent="0.25">
      <c r="B253" s="1">
        <f>DATA2!$B253</f>
        <v>0</v>
      </c>
      <c r="G253" s="1" t="str">
        <f t="shared" si="3"/>
        <v/>
      </c>
    </row>
    <row r="254" spans="2:7" x14ac:dyDescent="0.25">
      <c r="B254" s="1">
        <f>DATA2!$B254</f>
        <v>0</v>
      </c>
      <c r="G254" s="1" t="str">
        <f t="shared" si="3"/>
        <v/>
      </c>
    </row>
    <row r="255" spans="2:7" x14ac:dyDescent="0.25">
      <c r="B255" s="1">
        <f>DATA2!$B255</f>
        <v>0</v>
      </c>
      <c r="G255" s="1" t="str">
        <f t="shared" si="3"/>
        <v/>
      </c>
    </row>
    <row r="256" spans="2:7" x14ac:dyDescent="0.25">
      <c r="B256" s="1">
        <f>DATA2!$B256</f>
        <v>0</v>
      </c>
      <c r="G256" s="1" t="str">
        <f t="shared" si="3"/>
        <v/>
      </c>
    </row>
    <row r="257" spans="2:7" x14ac:dyDescent="0.25">
      <c r="B257" s="1">
        <f>DATA2!$B257</f>
        <v>0</v>
      </c>
      <c r="G257" s="1" t="str">
        <f t="shared" si="3"/>
        <v/>
      </c>
    </row>
    <row r="258" spans="2:7" x14ac:dyDescent="0.25">
      <c r="B258" s="1">
        <f>DATA2!$B258</f>
        <v>0</v>
      </c>
      <c r="G258" s="1" t="str">
        <f t="shared" si="3"/>
        <v/>
      </c>
    </row>
    <row r="259" spans="2:7" x14ac:dyDescent="0.25">
      <c r="B259" s="1">
        <f>DATA2!$B259</f>
        <v>0</v>
      </c>
      <c r="G259" s="1" t="str">
        <f t="shared" si="3"/>
        <v/>
      </c>
    </row>
    <row r="260" spans="2:7" x14ac:dyDescent="0.25">
      <c r="B260" s="1">
        <f>DATA2!$B260</f>
        <v>0</v>
      </c>
      <c r="G260" s="1" t="str">
        <f t="shared" si="3"/>
        <v/>
      </c>
    </row>
    <row r="261" spans="2:7" x14ac:dyDescent="0.25">
      <c r="B261" s="1">
        <f>DATA2!$B261</f>
        <v>0</v>
      </c>
      <c r="G261" s="1" t="str">
        <f t="shared" si="3"/>
        <v/>
      </c>
    </row>
    <row r="262" spans="2:7" x14ac:dyDescent="0.25">
      <c r="B262" s="1">
        <f>DATA2!$B262</f>
        <v>0</v>
      </c>
      <c r="G262" s="1" t="str">
        <f t="shared" si="3"/>
        <v/>
      </c>
    </row>
    <row r="263" spans="2:7" x14ac:dyDescent="0.25">
      <c r="B263" s="1">
        <f>DATA2!$B263</f>
        <v>0</v>
      </c>
      <c r="G263" s="1" t="str">
        <f t="shared" si="3"/>
        <v/>
      </c>
    </row>
    <row r="264" spans="2:7" x14ac:dyDescent="0.25">
      <c r="B264" s="1">
        <f>DATA2!$B264</f>
        <v>0</v>
      </c>
      <c r="G264" s="1" t="str">
        <f t="shared" si="3"/>
        <v/>
      </c>
    </row>
    <row r="265" spans="2:7" x14ac:dyDescent="0.25">
      <c r="B265" s="1">
        <f>DATA2!$B265</f>
        <v>0</v>
      </c>
      <c r="G265" s="1" t="str">
        <f t="shared" ref="G265:G328" si="4">IF(LEN(C265) + LEN(D265) + LEN(E265)  + LEN(F265)&gt; 0, TEXT(MAX(C265:F265),"mm/dd/yyyy hh:mm"),"")</f>
        <v/>
      </c>
    </row>
    <row r="266" spans="2:7" x14ac:dyDescent="0.25">
      <c r="B266" s="1">
        <f>DATA2!$B266</f>
        <v>0</v>
      </c>
      <c r="G266" s="1" t="str">
        <f t="shared" si="4"/>
        <v/>
      </c>
    </row>
    <row r="267" spans="2:7" x14ac:dyDescent="0.25">
      <c r="B267" s="1">
        <f>DATA2!$B267</f>
        <v>0</v>
      </c>
      <c r="G267" s="1" t="str">
        <f t="shared" si="4"/>
        <v/>
      </c>
    </row>
    <row r="268" spans="2:7" x14ac:dyDescent="0.25">
      <c r="B268" s="1">
        <f>DATA2!$B268</f>
        <v>0</v>
      </c>
      <c r="G268" s="1" t="str">
        <f t="shared" si="4"/>
        <v/>
      </c>
    </row>
    <row r="269" spans="2:7" x14ac:dyDescent="0.25">
      <c r="B269" s="1">
        <f>DATA2!$B269</f>
        <v>0</v>
      </c>
      <c r="G269" s="1" t="str">
        <f t="shared" si="4"/>
        <v/>
      </c>
    </row>
    <row r="270" spans="2:7" x14ac:dyDescent="0.25">
      <c r="B270" s="1">
        <f>DATA2!$B270</f>
        <v>0</v>
      </c>
      <c r="G270" s="1" t="str">
        <f t="shared" si="4"/>
        <v/>
      </c>
    </row>
    <row r="271" spans="2:7" x14ac:dyDescent="0.25">
      <c r="B271" s="1">
        <f>DATA2!$B271</f>
        <v>0</v>
      </c>
      <c r="G271" s="1" t="str">
        <f t="shared" si="4"/>
        <v/>
      </c>
    </row>
    <row r="272" spans="2:7" x14ac:dyDescent="0.25">
      <c r="B272" s="1">
        <f>DATA2!$B272</f>
        <v>0</v>
      </c>
      <c r="G272" s="1" t="str">
        <f t="shared" si="4"/>
        <v/>
      </c>
    </row>
    <row r="273" spans="2:7" x14ac:dyDescent="0.25">
      <c r="B273" s="1">
        <f>DATA2!$B273</f>
        <v>0</v>
      </c>
      <c r="G273" s="1" t="str">
        <f t="shared" si="4"/>
        <v/>
      </c>
    </row>
    <row r="274" spans="2:7" x14ac:dyDescent="0.25">
      <c r="B274" s="1">
        <f>DATA2!$B274</f>
        <v>0</v>
      </c>
      <c r="G274" s="1" t="str">
        <f t="shared" si="4"/>
        <v/>
      </c>
    </row>
    <row r="275" spans="2:7" x14ac:dyDescent="0.25">
      <c r="B275" s="1">
        <f>DATA2!$B275</f>
        <v>0</v>
      </c>
      <c r="G275" s="1" t="str">
        <f t="shared" si="4"/>
        <v/>
      </c>
    </row>
    <row r="276" spans="2:7" x14ac:dyDescent="0.25">
      <c r="B276" s="1">
        <f>DATA2!$B276</f>
        <v>0</v>
      </c>
      <c r="G276" s="1" t="str">
        <f t="shared" si="4"/>
        <v/>
      </c>
    </row>
    <row r="277" spans="2:7" x14ac:dyDescent="0.25">
      <c r="B277" s="1">
        <f>DATA2!$B277</f>
        <v>0</v>
      </c>
      <c r="G277" s="1" t="str">
        <f t="shared" si="4"/>
        <v/>
      </c>
    </row>
    <row r="278" spans="2:7" x14ac:dyDescent="0.25">
      <c r="B278" s="1">
        <f>DATA2!$B278</f>
        <v>0</v>
      </c>
      <c r="G278" s="1" t="str">
        <f t="shared" si="4"/>
        <v/>
      </c>
    </row>
    <row r="279" spans="2:7" x14ac:dyDescent="0.25">
      <c r="B279" s="1">
        <f>DATA2!$B279</f>
        <v>0</v>
      </c>
      <c r="G279" s="1" t="str">
        <f t="shared" si="4"/>
        <v/>
      </c>
    </row>
    <row r="280" spans="2:7" x14ac:dyDescent="0.25">
      <c r="B280" s="1">
        <f>DATA2!$B280</f>
        <v>0</v>
      </c>
      <c r="G280" s="1" t="str">
        <f t="shared" si="4"/>
        <v/>
      </c>
    </row>
    <row r="281" spans="2:7" x14ac:dyDescent="0.25">
      <c r="B281" s="1">
        <f>DATA2!$B281</f>
        <v>0</v>
      </c>
      <c r="G281" s="1" t="str">
        <f t="shared" si="4"/>
        <v/>
      </c>
    </row>
    <row r="282" spans="2:7" x14ac:dyDescent="0.25">
      <c r="B282" s="1">
        <f>DATA2!$B282</f>
        <v>0</v>
      </c>
      <c r="G282" s="1" t="str">
        <f t="shared" si="4"/>
        <v/>
      </c>
    </row>
    <row r="283" spans="2:7" x14ac:dyDescent="0.25">
      <c r="B283" s="1">
        <f>DATA2!$B283</f>
        <v>0</v>
      </c>
      <c r="G283" s="1" t="str">
        <f t="shared" si="4"/>
        <v/>
      </c>
    </row>
    <row r="284" spans="2:7" x14ac:dyDescent="0.25">
      <c r="B284" s="1">
        <f>DATA2!$B284</f>
        <v>0</v>
      </c>
      <c r="G284" s="1" t="str">
        <f t="shared" si="4"/>
        <v/>
      </c>
    </row>
    <row r="285" spans="2:7" x14ac:dyDescent="0.25">
      <c r="B285" s="1">
        <f>DATA2!$B285</f>
        <v>0</v>
      </c>
      <c r="G285" s="1" t="str">
        <f t="shared" si="4"/>
        <v/>
      </c>
    </row>
    <row r="286" spans="2:7" x14ac:dyDescent="0.25">
      <c r="B286" s="1">
        <f>DATA2!$B286</f>
        <v>0</v>
      </c>
      <c r="G286" s="1" t="str">
        <f t="shared" si="4"/>
        <v/>
      </c>
    </row>
    <row r="287" spans="2:7" x14ac:dyDescent="0.25">
      <c r="B287" s="1">
        <f>DATA2!$B287</f>
        <v>0</v>
      </c>
      <c r="G287" s="1" t="str">
        <f t="shared" si="4"/>
        <v/>
      </c>
    </row>
    <row r="288" spans="2:7" x14ac:dyDescent="0.25">
      <c r="B288" s="1">
        <f>DATA2!$B288</f>
        <v>0</v>
      </c>
      <c r="G288" s="1" t="str">
        <f t="shared" si="4"/>
        <v/>
      </c>
    </row>
    <row r="289" spans="2:7" x14ac:dyDescent="0.25">
      <c r="B289" s="1">
        <f>DATA2!$B289</f>
        <v>0</v>
      </c>
      <c r="G289" s="1" t="str">
        <f t="shared" si="4"/>
        <v/>
      </c>
    </row>
    <row r="290" spans="2:7" x14ac:dyDescent="0.25">
      <c r="B290" s="1">
        <f>DATA2!$B290</f>
        <v>0</v>
      </c>
      <c r="G290" s="1" t="str">
        <f t="shared" si="4"/>
        <v/>
      </c>
    </row>
    <row r="291" spans="2:7" x14ac:dyDescent="0.25">
      <c r="B291" s="1">
        <f>DATA2!$B291</f>
        <v>0</v>
      </c>
      <c r="G291" s="1" t="str">
        <f t="shared" si="4"/>
        <v/>
      </c>
    </row>
    <row r="292" spans="2:7" x14ac:dyDescent="0.25">
      <c r="B292" s="1">
        <f>DATA2!$B292</f>
        <v>0</v>
      </c>
      <c r="G292" s="1" t="str">
        <f t="shared" si="4"/>
        <v/>
      </c>
    </row>
    <row r="293" spans="2:7" x14ac:dyDescent="0.25">
      <c r="B293" s="1">
        <f>DATA2!$B293</f>
        <v>0</v>
      </c>
      <c r="G293" s="1" t="str">
        <f t="shared" si="4"/>
        <v/>
      </c>
    </row>
    <row r="294" spans="2:7" x14ac:dyDescent="0.25">
      <c r="B294" s="1">
        <f>DATA2!$B294</f>
        <v>0</v>
      </c>
      <c r="G294" s="1" t="str">
        <f t="shared" si="4"/>
        <v/>
      </c>
    </row>
    <row r="295" spans="2:7" x14ac:dyDescent="0.25">
      <c r="B295" s="1">
        <f>DATA2!$B295</f>
        <v>0</v>
      </c>
      <c r="G295" s="1" t="str">
        <f t="shared" si="4"/>
        <v/>
      </c>
    </row>
    <row r="296" spans="2:7" x14ac:dyDescent="0.25">
      <c r="B296" s="1">
        <f>DATA2!$B296</f>
        <v>0</v>
      </c>
      <c r="G296" s="1" t="str">
        <f t="shared" si="4"/>
        <v/>
      </c>
    </row>
    <row r="297" spans="2:7" x14ac:dyDescent="0.25">
      <c r="B297" s="1">
        <f>DATA2!$B297</f>
        <v>0</v>
      </c>
      <c r="G297" s="1" t="str">
        <f t="shared" si="4"/>
        <v/>
      </c>
    </row>
    <row r="298" spans="2:7" x14ac:dyDescent="0.25">
      <c r="B298" s="1">
        <f>DATA2!$B298</f>
        <v>0</v>
      </c>
      <c r="G298" s="1" t="str">
        <f t="shared" si="4"/>
        <v/>
      </c>
    </row>
    <row r="299" spans="2:7" x14ac:dyDescent="0.25">
      <c r="B299" s="1">
        <f>DATA2!$B299</f>
        <v>0</v>
      </c>
      <c r="G299" s="1" t="str">
        <f t="shared" si="4"/>
        <v/>
      </c>
    </row>
    <row r="300" spans="2:7" x14ac:dyDescent="0.25">
      <c r="B300" s="1">
        <f>DATA2!$B300</f>
        <v>0</v>
      </c>
      <c r="G300" s="1" t="str">
        <f t="shared" si="4"/>
        <v/>
      </c>
    </row>
    <row r="301" spans="2:7" x14ac:dyDescent="0.25">
      <c r="B301" s="1">
        <f>DATA2!$B301</f>
        <v>0</v>
      </c>
      <c r="G301" s="1" t="str">
        <f t="shared" si="4"/>
        <v/>
      </c>
    </row>
    <row r="302" spans="2:7" x14ac:dyDescent="0.25">
      <c r="B302" s="1">
        <f>DATA2!$B302</f>
        <v>0</v>
      </c>
      <c r="G302" s="1" t="str">
        <f t="shared" si="4"/>
        <v/>
      </c>
    </row>
    <row r="303" spans="2:7" x14ac:dyDescent="0.25">
      <c r="B303" s="1">
        <f>DATA2!$B303</f>
        <v>0</v>
      </c>
      <c r="G303" s="1" t="str">
        <f t="shared" si="4"/>
        <v/>
      </c>
    </row>
    <row r="304" spans="2:7" x14ac:dyDescent="0.25">
      <c r="B304" s="1">
        <f>DATA2!$B304</f>
        <v>0</v>
      </c>
      <c r="G304" s="1" t="str">
        <f t="shared" si="4"/>
        <v/>
      </c>
    </row>
    <row r="305" spans="2:7" x14ac:dyDescent="0.25">
      <c r="B305" s="1">
        <f>DATA2!$B305</f>
        <v>0</v>
      </c>
      <c r="G305" s="1" t="str">
        <f t="shared" si="4"/>
        <v/>
      </c>
    </row>
    <row r="306" spans="2:7" x14ac:dyDescent="0.25">
      <c r="B306" s="1">
        <f>DATA2!$B306</f>
        <v>0</v>
      </c>
      <c r="G306" s="1" t="str">
        <f t="shared" si="4"/>
        <v/>
      </c>
    </row>
    <row r="307" spans="2:7" x14ac:dyDescent="0.25">
      <c r="B307" s="1">
        <f>DATA2!$B307</f>
        <v>0</v>
      </c>
      <c r="G307" s="1" t="str">
        <f t="shared" si="4"/>
        <v/>
      </c>
    </row>
    <row r="308" spans="2:7" x14ac:dyDescent="0.25">
      <c r="B308" s="1">
        <f>DATA2!$B308</f>
        <v>0</v>
      </c>
      <c r="G308" s="1" t="str">
        <f t="shared" si="4"/>
        <v/>
      </c>
    </row>
    <row r="309" spans="2:7" x14ac:dyDescent="0.25">
      <c r="B309" s="1">
        <f>DATA2!$B309</f>
        <v>0</v>
      </c>
      <c r="G309" s="1" t="str">
        <f t="shared" si="4"/>
        <v/>
      </c>
    </row>
    <row r="310" spans="2:7" x14ac:dyDescent="0.25">
      <c r="B310" s="1">
        <f>DATA2!$B310</f>
        <v>0</v>
      </c>
      <c r="G310" s="1" t="str">
        <f t="shared" si="4"/>
        <v/>
      </c>
    </row>
    <row r="311" spans="2:7" x14ac:dyDescent="0.25">
      <c r="B311" s="1">
        <f>DATA2!$B311</f>
        <v>0</v>
      </c>
      <c r="G311" s="1" t="str">
        <f t="shared" si="4"/>
        <v/>
      </c>
    </row>
    <row r="312" spans="2:7" x14ac:dyDescent="0.25">
      <c r="B312" s="1">
        <f>DATA2!$B312</f>
        <v>0</v>
      </c>
      <c r="G312" s="1" t="str">
        <f t="shared" si="4"/>
        <v/>
      </c>
    </row>
    <row r="313" spans="2:7" x14ac:dyDescent="0.25">
      <c r="B313" s="1">
        <f>DATA2!$B313</f>
        <v>0</v>
      </c>
      <c r="G313" s="1" t="str">
        <f t="shared" si="4"/>
        <v/>
      </c>
    </row>
    <row r="314" spans="2:7" x14ac:dyDescent="0.25">
      <c r="B314" s="1">
        <f>DATA2!$B314</f>
        <v>0</v>
      </c>
      <c r="G314" s="1" t="str">
        <f t="shared" si="4"/>
        <v/>
      </c>
    </row>
    <row r="315" spans="2:7" x14ac:dyDescent="0.25">
      <c r="B315" s="1">
        <f>DATA2!$B315</f>
        <v>0</v>
      </c>
      <c r="G315" s="1" t="str">
        <f t="shared" si="4"/>
        <v/>
      </c>
    </row>
    <row r="316" spans="2:7" x14ac:dyDescent="0.25">
      <c r="B316" s="1">
        <f>DATA2!$B316</f>
        <v>0</v>
      </c>
      <c r="G316" s="1" t="str">
        <f t="shared" si="4"/>
        <v/>
      </c>
    </row>
    <row r="317" spans="2:7" x14ac:dyDescent="0.25">
      <c r="B317" s="1">
        <f>DATA2!$B317</f>
        <v>0</v>
      </c>
      <c r="G317" s="1" t="str">
        <f t="shared" si="4"/>
        <v/>
      </c>
    </row>
    <row r="318" spans="2:7" x14ac:dyDescent="0.25">
      <c r="B318" s="1">
        <f>DATA2!$B318</f>
        <v>0</v>
      </c>
      <c r="G318" s="1" t="str">
        <f t="shared" si="4"/>
        <v/>
      </c>
    </row>
    <row r="319" spans="2:7" x14ac:dyDescent="0.25">
      <c r="B319" s="1">
        <f>DATA2!$B319</f>
        <v>0</v>
      </c>
      <c r="G319" s="1" t="str">
        <f t="shared" si="4"/>
        <v/>
      </c>
    </row>
    <row r="320" spans="2:7" x14ac:dyDescent="0.25">
      <c r="B320" s="1">
        <f>DATA2!$B320</f>
        <v>0</v>
      </c>
      <c r="G320" s="1" t="str">
        <f t="shared" si="4"/>
        <v/>
      </c>
    </row>
    <row r="321" spans="2:7" x14ac:dyDescent="0.25">
      <c r="B321" s="1">
        <f>DATA2!$B321</f>
        <v>0</v>
      </c>
      <c r="G321" s="1" t="str">
        <f t="shared" si="4"/>
        <v/>
      </c>
    </row>
    <row r="322" spans="2:7" x14ac:dyDescent="0.25">
      <c r="B322" s="1">
        <f>DATA2!$B322</f>
        <v>0</v>
      </c>
      <c r="G322" s="1" t="str">
        <f t="shared" si="4"/>
        <v/>
      </c>
    </row>
    <row r="323" spans="2:7" x14ac:dyDescent="0.25">
      <c r="B323" s="1">
        <f>DATA2!$B323</f>
        <v>0</v>
      </c>
      <c r="G323" s="1" t="str">
        <f t="shared" si="4"/>
        <v/>
      </c>
    </row>
    <row r="324" spans="2:7" x14ac:dyDescent="0.25">
      <c r="B324" s="1">
        <f>DATA2!$B324</f>
        <v>0</v>
      </c>
      <c r="G324" s="1" t="str">
        <f t="shared" si="4"/>
        <v/>
      </c>
    </row>
    <row r="325" spans="2:7" x14ac:dyDescent="0.25">
      <c r="B325" s="1">
        <f>DATA2!$B325</f>
        <v>0</v>
      </c>
      <c r="G325" s="1" t="str">
        <f t="shared" si="4"/>
        <v/>
      </c>
    </row>
    <row r="326" spans="2:7" x14ac:dyDescent="0.25">
      <c r="B326" s="1">
        <f>DATA2!$B326</f>
        <v>0</v>
      </c>
      <c r="G326" s="1" t="str">
        <f t="shared" si="4"/>
        <v/>
      </c>
    </row>
    <row r="327" spans="2:7" x14ac:dyDescent="0.25">
      <c r="B327" s="1">
        <f>DATA2!$B327</f>
        <v>0</v>
      </c>
      <c r="G327" s="1" t="str">
        <f t="shared" si="4"/>
        <v/>
      </c>
    </row>
    <row r="328" spans="2:7" x14ac:dyDescent="0.25">
      <c r="B328" s="1">
        <f>DATA2!$B328</f>
        <v>0</v>
      </c>
      <c r="G328" s="1" t="str">
        <f t="shared" si="4"/>
        <v/>
      </c>
    </row>
    <row r="329" spans="2:7" x14ac:dyDescent="0.25">
      <c r="B329" s="1">
        <f>DATA2!$B329</f>
        <v>0</v>
      </c>
      <c r="G329" s="1" t="str">
        <f t="shared" ref="G329:G392" si="5">IF(LEN(C329) + LEN(D329) + LEN(E329)  + LEN(F329)&gt; 0, TEXT(MAX(C329:F329),"mm/dd/yyyy hh:mm"),"")</f>
        <v/>
      </c>
    </row>
    <row r="330" spans="2:7" x14ac:dyDescent="0.25">
      <c r="B330" s="1">
        <f>DATA2!$B330</f>
        <v>0</v>
      </c>
      <c r="G330" s="1" t="str">
        <f t="shared" si="5"/>
        <v/>
      </c>
    </row>
    <row r="331" spans="2:7" x14ac:dyDescent="0.25">
      <c r="B331" s="1">
        <f>DATA2!$B331</f>
        <v>0</v>
      </c>
      <c r="G331" s="1" t="str">
        <f t="shared" si="5"/>
        <v/>
      </c>
    </row>
    <row r="332" spans="2:7" x14ac:dyDescent="0.25">
      <c r="B332" s="1">
        <f>DATA2!$B332</f>
        <v>0</v>
      </c>
      <c r="G332" s="1" t="str">
        <f t="shared" si="5"/>
        <v/>
      </c>
    </row>
    <row r="333" spans="2:7" x14ac:dyDescent="0.25">
      <c r="B333" s="1">
        <f>DATA2!$B333</f>
        <v>0</v>
      </c>
      <c r="G333" s="1" t="str">
        <f t="shared" si="5"/>
        <v/>
      </c>
    </row>
    <row r="334" spans="2:7" x14ac:dyDescent="0.25">
      <c r="B334" s="1">
        <f>DATA2!$B334</f>
        <v>0</v>
      </c>
      <c r="G334" s="1" t="str">
        <f t="shared" si="5"/>
        <v/>
      </c>
    </row>
    <row r="335" spans="2:7" x14ac:dyDescent="0.25">
      <c r="B335" s="1">
        <f>DATA2!$B335</f>
        <v>0</v>
      </c>
      <c r="G335" s="1" t="str">
        <f t="shared" si="5"/>
        <v/>
      </c>
    </row>
    <row r="336" spans="2:7" x14ac:dyDescent="0.25">
      <c r="B336" s="1">
        <f>DATA2!$B336</f>
        <v>0</v>
      </c>
      <c r="G336" s="1" t="str">
        <f t="shared" si="5"/>
        <v/>
      </c>
    </row>
    <row r="337" spans="2:7" x14ac:dyDescent="0.25">
      <c r="B337" s="1">
        <f>DATA2!$B337</f>
        <v>0</v>
      </c>
      <c r="G337" s="1" t="str">
        <f t="shared" si="5"/>
        <v/>
      </c>
    </row>
    <row r="338" spans="2:7" x14ac:dyDescent="0.25">
      <c r="B338" s="1">
        <f>DATA2!$B338</f>
        <v>0</v>
      </c>
      <c r="G338" s="1" t="str">
        <f t="shared" si="5"/>
        <v/>
      </c>
    </row>
    <row r="339" spans="2:7" x14ac:dyDescent="0.25">
      <c r="B339" s="1">
        <f>DATA2!$B339</f>
        <v>0</v>
      </c>
      <c r="G339" s="1" t="str">
        <f t="shared" si="5"/>
        <v/>
      </c>
    </row>
    <row r="340" spans="2:7" x14ac:dyDescent="0.25">
      <c r="B340" s="1">
        <f>DATA2!$B340</f>
        <v>0</v>
      </c>
      <c r="G340" s="1" t="str">
        <f t="shared" si="5"/>
        <v/>
      </c>
    </row>
    <row r="341" spans="2:7" x14ac:dyDescent="0.25">
      <c r="B341" s="1">
        <f>DATA2!$B341</f>
        <v>0</v>
      </c>
      <c r="G341" s="1" t="str">
        <f t="shared" si="5"/>
        <v/>
      </c>
    </row>
    <row r="342" spans="2:7" x14ac:dyDescent="0.25">
      <c r="B342" s="1">
        <f>DATA2!$B342</f>
        <v>0</v>
      </c>
      <c r="G342" s="1" t="str">
        <f t="shared" si="5"/>
        <v/>
      </c>
    </row>
    <row r="343" spans="2:7" x14ac:dyDescent="0.25">
      <c r="B343" s="1">
        <f>DATA2!$B343</f>
        <v>0</v>
      </c>
      <c r="G343" s="1" t="str">
        <f t="shared" si="5"/>
        <v/>
      </c>
    </row>
    <row r="344" spans="2:7" x14ac:dyDescent="0.25">
      <c r="B344" s="1">
        <f>DATA2!$B344</f>
        <v>0</v>
      </c>
      <c r="G344" s="1" t="str">
        <f t="shared" si="5"/>
        <v/>
      </c>
    </row>
    <row r="345" spans="2:7" x14ac:dyDescent="0.25">
      <c r="B345" s="1">
        <f>DATA2!$B345</f>
        <v>0</v>
      </c>
      <c r="G345" s="1" t="str">
        <f t="shared" si="5"/>
        <v/>
      </c>
    </row>
    <row r="346" spans="2:7" x14ac:dyDescent="0.25">
      <c r="B346" s="1">
        <f>DATA2!$B346</f>
        <v>0</v>
      </c>
      <c r="G346" s="1" t="str">
        <f t="shared" si="5"/>
        <v/>
      </c>
    </row>
    <row r="347" spans="2:7" x14ac:dyDescent="0.25">
      <c r="B347" s="1">
        <f>DATA2!$B347</f>
        <v>0</v>
      </c>
      <c r="G347" s="1" t="str">
        <f t="shared" si="5"/>
        <v/>
      </c>
    </row>
    <row r="348" spans="2:7" x14ac:dyDescent="0.25">
      <c r="B348" s="1">
        <f>DATA2!$B348</f>
        <v>0</v>
      </c>
      <c r="G348" s="1" t="str">
        <f t="shared" si="5"/>
        <v/>
      </c>
    </row>
    <row r="349" spans="2:7" x14ac:dyDescent="0.25">
      <c r="B349" s="1">
        <f>DATA2!$B349</f>
        <v>0</v>
      </c>
      <c r="G349" s="1" t="str">
        <f t="shared" si="5"/>
        <v/>
      </c>
    </row>
    <row r="350" spans="2:7" x14ac:dyDescent="0.25">
      <c r="B350" s="1">
        <f>DATA2!$B350</f>
        <v>0</v>
      </c>
      <c r="G350" s="1" t="str">
        <f t="shared" si="5"/>
        <v/>
      </c>
    </row>
    <row r="351" spans="2:7" x14ac:dyDescent="0.25">
      <c r="B351" s="1">
        <f>DATA2!$B351</f>
        <v>0</v>
      </c>
      <c r="G351" s="1" t="str">
        <f t="shared" si="5"/>
        <v/>
      </c>
    </row>
    <row r="352" spans="2:7" x14ac:dyDescent="0.25">
      <c r="B352" s="1">
        <f>DATA2!$B352</f>
        <v>0</v>
      </c>
      <c r="G352" s="1" t="str">
        <f t="shared" si="5"/>
        <v/>
      </c>
    </row>
    <row r="353" spans="2:7" x14ac:dyDescent="0.25">
      <c r="B353" s="1">
        <f>DATA2!$B353</f>
        <v>0</v>
      </c>
      <c r="G353" s="1" t="str">
        <f t="shared" si="5"/>
        <v/>
      </c>
    </row>
    <row r="354" spans="2:7" x14ac:dyDescent="0.25">
      <c r="B354" s="1">
        <f>DATA2!$B354</f>
        <v>0</v>
      </c>
      <c r="G354" s="1" t="str">
        <f t="shared" si="5"/>
        <v/>
      </c>
    </row>
    <row r="355" spans="2:7" x14ac:dyDescent="0.25">
      <c r="B355" s="1">
        <f>DATA2!$B355</f>
        <v>0</v>
      </c>
      <c r="G355" s="1" t="str">
        <f t="shared" si="5"/>
        <v/>
      </c>
    </row>
    <row r="356" spans="2:7" x14ac:dyDescent="0.25">
      <c r="B356" s="1">
        <f>DATA2!$B356</f>
        <v>0</v>
      </c>
      <c r="G356" s="1" t="str">
        <f t="shared" si="5"/>
        <v/>
      </c>
    </row>
    <row r="357" spans="2:7" x14ac:dyDescent="0.25">
      <c r="B357" s="1">
        <f>DATA2!$B357</f>
        <v>0</v>
      </c>
      <c r="G357" s="1" t="str">
        <f t="shared" si="5"/>
        <v/>
      </c>
    </row>
    <row r="358" spans="2:7" x14ac:dyDescent="0.25">
      <c r="B358" s="1">
        <f>DATA2!$B358</f>
        <v>0</v>
      </c>
      <c r="G358" s="1" t="str">
        <f t="shared" si="5"/>
        <v/>
      </c>
    </row>
    <row r="359" spans="2:7" x14ac:dyDescent="0.25">
      <c r="B359" s="1">
        <f>DATA2!$B359</f>
        <v>0</v>
      </c>
      <c r="G359" s="1" t="str">
        <f t="shared" si="5"/>
        <v/>
      </c>
    </row>
    <row r="360" spans="2:7" x14ac:dyDescent="0.25">
      <c r="B360" s="1">
        <f>DATA2!$B360</f>
        <v>0</v>
      </c>
      <c r="G360" s="1" t="str">
        <f t="shared" si="5"/>
        <v/>
      </c>
    </row>
    <row r="361" spans="2:7" x14ac:dyDescent="0.25">
      <c r="B361" s="1">
        <f>DATA2!$B361</f>
        <v>0</v>
      </c>
      <c r="G361" s="1" t="str">
        <f t="shared" si="5"/>
        <v/>
      </c>
    </row>
    <row r="362" spans="2:7" x14ac:dyDescent="0.25">
      <c r="B362" s="1">
        <f>DATA2!$B362</f>
        <v>0</v>
      </c>
      <c r="G362" s="1" t="str">
        <f t="shared" si="5"/>
        <v/>
      </c>
    </row>
    <row r="363" spans="2:7" x14ac:dyDescent="0.25">
      <c r="B363" s="1">
        <f>DATA2!$B363</f>
        <v>0</v>
      </c>
      <c r="G363" s="1" t="str">
        <f t="shared" si="5"/>
        <v/>
      </c>
    </row>
    <row r="364" spans="2:7" x14ac:dyDescent="0.25">
      <c r="B364" s="1">
        <f>DATA2!$B364</f>
        <v>0</v>
      </c>
      <c r="G364" s="1" t="str">
        <f t="shared" si="5"/>
        <v/>
      </c>
    </row>
    <row r="365" spans="2:7" x14ac:dyDescent="0.25">
      <c r="B365" s="1">
        <f>DATA2!$B365</f>
        <v>0</v>
      </c>
      <c r="G365" s="1" t="str">
        <f t="shared" si="5"/>
        <v/>
      </c>
    </row>
    <row r="366" spans="2:7" x14ac:dyDescent="0.25">
      <c r="B366" s="1">
        <f>DATA2!$B366</f>
        <v>0</v>
      </c>
      <c r="G366" s="1" t="str">
        <f t="shared" si="5"/>
        <v/>
      </c>
    </row>
    <row r="367" spans="2:7" x14ac:dyDescent="0.25">
      <c r="B367" s="1">
        <f>DATA2!$B367</f>
        <v>0</v>
      </c>
      <c r="G367" s="1" t="str">
        <f t="shared" si="5"/>
        <v/>
      </c>
    </row>
    <row r="368" spans="2:7" x14ac:dyDescent="0.25">
      <c r="B368" s="1">
        <f>DATA2!$B368</f>
        <v>0</v>
      </c>
      <c r="G368" s="1" t="str">
        <f t="shared" si="5"/>
        <v/>
      </c>
    </row>
    <row r="369" spans="2:7" x14ac:dyDescent="0.25">
      <c r="B369" s="1">
        <f>DATA2!$B369</f>
        <v>0</v>
      </c>
      <c r="G369" s="1" t="str">
        <f t="shared" si="5"/>
        <v/>
      </c>
    </row>
    <row r="370" spans="2:7" x14ac:dyDescent="0.25">
      <c r="B370" s="1">
        <f>DATA2!$B370</f>
        <v>0</v>
      </c>
      <c r="G370" s="1" t="str">
        <f t="shared" si="5"/>
        <v/>
      </c>
    </row>
    <row r="371" spans="2:7" x14ac:dyDescent="0.25">
      <c r="B371" s="1">
        <f>DATA2!$B371</f>
        <v>0</v>
      </c>
      <c r="G371" s="1" t="str">
        <f t="shared" si="5"/>
        <v/>
      </c>
    </row>
    <row r="372" spans="2:7" x14ac:dyDescent="0.25">
      <c r="B372" s="1">
        <f>DATA2!$B372</f>
        <v>0</v>
      </c>
      <c r="G372" s="1" t="str">
        <f t="shared" si="5"/>
        <v/>
      </c>
    </row>
    <row r="373" spans="2:7" x14ac:dyDescent="0.25">
      <c r="B373" s="1">
        <f>DATA2!$B373</f>
        <v>0</v>
      </c>
      <c r="G373" s="1" t="str">
        <f t="shared" si="5"/>
        <v/>
      </c>
    </row>
    <row r="374" spans="2:7" x14ac:dyDescent="0.25">
      <c r="B374" s="1">
        <f>DATA2!$B374</f>
        <v>0</v>
      </c>
      <c r="G374" s="1" t="str">
        <f t="shared" si="5"/>
        <v/>
      </c>
    </row>
    <row r="375" spans="2:7" x14ac:dyDescent="0.25">
      <c r="B375" s="1">
        <f>DATA2!$B375</f>
        <v>0</v>
      </c>
      <c r="G375" s="1" t="str">
        <f t="shared" si="5"/>
        <v/>
      </c>
    </row>
    <row r="376" spans="2:7" x14ac:dyDescent="0.25">
      <c r="B376" s="1">
        <f>DATA2!$B376</f>
        <v>0</v>
      </c>
      <c r="G376" s="1" t="str">
        <f t="shared" si="5"/>
        <v/>
      </c>
    </row>
    <row r="377" spans="2:7" x14ac:dyDescent="0.25">
      <c r="B377" s="1">
        <f>DATA2!$B377</f>
        <v>0</v>
      </c>
      <c r="G377" s="1" t="str">
        <f t="shared" si="5"/>
        <v/>
      </c>
    </row>
    <row r="378" spans="2:7" x14ac:dyDescent="0.25">
      <c r="B378" s="1">
        <f>DATA2!$B378</f>
        <v>0</v>
      </c>
      <c r="G378" s="1" t="str">
        <f t="shared" si="5"/>
        <v/>
      </c>
    </row>
    <row r="379" spans="2:7" x14ac:dyDescent="0.25">
      <c r="B379" s="1">
        <f>DATA2!$B379</f>
        <v>0</v>
      </c>
      <c r="G379" s="1" t="str">
        <f t="shared" si="5"/>
        <v/>
      </c>
    </row>
    <row r="380" spans="2:7" x14ac:dyDescent="0.25">
      <c r="B380" s="1">
        <f>DATA2!$B380</f>
        <v>0</v>
      </c>
      <c r="G380" s="1" t="str">
        <f t="shared" si="5"/>
        <v/>
      </c>
    </row>
    <row r="381" spans="2:7" x14ac:dyDescent="0.25">
      <c r="B381" s="1">
        <f>DATA2!$B381</f>
        <v>0</v>
      </c>
      <c r="G381" s="1" t="str">
        <f t="shared" si="5"/>
        <v/>
      </c>
    </row>
    <row r="382" spans="2:7" x14ac:dyDescent="0.25">
      <c r="B382" s="1">
        <f>DATA2!$B382</f>
        <v>0</v>
      </c>
      <c r="G382" s="1" t="str">
        <f t="shared" si="5"/>
        <v/>
      </c>
    </row>
    <row r="383" spans="2:7" x14ac:dyDescent="0.25">
      <c r="B383" s="1">
        <f>DATA2!$B383</f>
        <v>0</v>
      </c>
      <c r="G383" s="1" t="str">
        <f t="shared" si="5"/>
        <v/>
      </c>
    </row>
    <row r="384" spans="2:7" x14ac:dyDescent="0.25">
      <c r="B384" s="1">
        <f>DATA2!$B384</f>
        <v>0</v>
      </c>
      <c r="G384" s="1" t="str">
        <f t="shared" si="5"/>
        <v/>
      </c>
    </row>
    <row r="385" spans="2:7" x14ac:dyDescent="0.25">
      <c r="B385" s="1">
        <f>DATA2!$B385</f>
        <v>0</v>
      </c>
      <c r="G385" s="1" t="str">
        <f t="shared" si="5"/>
        <v/>
      </c>
    </row>
    <row r="386" spans="2:7" x14ac:dyDescent="0.25">
      <c r="B386" s="1">
        <f>DATA2!$B386</f>
        <v>0</v>
      </c>
      <c r="G386" s="1" t="str">
        <f t="shared" si="5"/>
        <v/>
      </c>
    </row>
    <row r="387" spans="2:7" x14ac:dyDescent="0.25">
      <c r="B387" s="1">
        <f>DATA2!$B387</f>
        <v>0</v>
      </c>
      <c r="G387" s="1" t="str">
        <f t="shared" si="5"/>
        <v/>
      </c>
    </row>
    <row r="388" spans="2:7" x14ac:dyDescent="0.25">
      <c r="B388" s="1">
        <f>DATA2!$B388</f>
        <v>0</v>
      </c>
      <c r="G388" s="1" t="str">
        <f t="shared" si="5"/>
        <v/>
      </c>
    </row>
    <row r="389" spans="2:7" x14ac:dyDescent="0.25">
      <c r="B389" s="1">
        <f>DATA2!$B389</f>
        <v>0</v>
      </c>
      <c r="G389" s="1" t="str">
        <f t="shared" si="5"/>
        <v/>
      </c>
    </row>
    <row r="390" spans="2:7" x14ac:dyDescent="0.25">
      <c r="B390" s="1">
        <f>DATA2!$B390</f>
        <v>0</v>
      </c>
      <c r="G390" s="1" t="str">
        <f t="shared" si="5"/>
        <v/>
      </c>
    </row>
    <row r="391" spans="2:7" x14ac:dyDescent="0.25">
      <c r="B391" s="1">
        <f>DATA2!$B391</f>
        <v>0</v>
      </c>
      <c r="G391" s="1" t="str">
        <f t="shared" si="5"/>
        <v/>
      </c>
    </row>
    <row r="392" spans="2:7" x14ac:dyDescent="0.25">
      <c r="B392" s="1">
        <f>DATA2!$B392</f>
        <v>0</v>
      </c>
      <c r="G392" s="1" t="str">
        <f t="shared" si="5"/>
        <v/>
      </c>
    </row>
    <row r="393" spans="2:7" x14ac:dyDescent="0.25">
      <c r="B393" s="1">
        <f>DATA2!$B393</f>
        <v>0</v>
      </c>
      <c r="G393" s="1" t="str">
        <f t="shared" ref="G393:G456" si="6">IF(LEN(C393) + LEN(D393) + LEN(E393)  + LEN(F393)&gt; 0, TEXT(MAX(C393:F393),"mm/dd/yyyy hh:mm"),"")</f>
        <v/>
      </c>
    </row>
    <row r="394" spans="2:7" x14ac:dyDescent="0.25">
      <c r="B394" s="1">
        <f>DATA2!$B394</f>
        <v>0</v>
      </c>
      <c r="G394" s="1" t="str">
        <f t="shared" si="6"/>
        <v/>
      </c>
    </row>
    <row r="395" spans="2:7" x14ac:dyDescent="0.25">
      <c r="B395" s="1">
        <f>DATA2!$B395</f>
        <v>0</v>
      </c>
      <c r="G395" s="1" t="str">
        <f t="shared" si="6"/>
        <v/>
      </c>
    </row>
    <row r="396" spans="2:7" x14ac:dyDescent="0.25">
      <c r="B396" s="1">
        <f>DATA2!$B396</f>
        <v>0</v>
      </c>
      <c r="G396" s="1" t="str">
        <f t="shared" si="6"/>
        <v/>
      </c>
    </row>
    <row r="397" spans="2:7" x14ac:dyDescent="0.25">
      <c r="B397" s="1">
        <f>DATA2!$B397</f>
        <v>0</v>
      </c>
      <c r="G397" s="1" t="str">
        <f t="shared" si="6"/>
        <v/>
      </c>
    </row>
    <row r="398" spans="2:7" x14ac:dyDescent="0.25">
      <c r="B398" s="1">
        <f>DATA2!$B398</f>
        <v>0</v>
      </c>
      <c r="G398" s="1" t="str">
        <f t="shared" si="6"/>
        <v/>
      </c>
    </row>
    <row r="399" spans="2:7" x14ac:dyDescent="0.25">
      <c r="B399" s="1">
        <f>DATA2!$B399</f>
        <v>0</v>
      </c>
      <c r="G399" s="1" t="str">
        <f t="shared" si="6"/>
        <v/>
      </c>
    </row>
    <row r="400" spans="2:7" x14ac:dyDescent="0.25">
      <c r="B400" s="1">
        <f>DATA2!$B400</f>
        <v>0</v>
      </c>
      <c r="G400" s="1" t="str">
        <f t="shared" si="6"/>
        <v/>
      </c>
    </row>
    <row r="401" spans="2:7" x14ac:dyDescent="0.25">
      <c r="B401" s="1">
        <f>DATA2!$B401</f>
        <v>0</v>
      </c>
      <c r="G401" s="1" t="str">
        <f t="shared" si="6"/>
        <v/>
      </c>
    </row>
    <row r="402" spans="2:7" x14ac:dyDescent="0.25">
      <c r="B402" s="1">
        <f>DATA2!$B402</f>
        <v>0</v>
      </c>
      <c r="G402" s="1" t="str">
        <f t="shared" si="6"/>
        <v/>
      </c>
    </row>
    <row r="403" spans="2:7" x14ac:dyDescent="0.25">
      <c r="B403" s="1">
        <f>DATA2!$B403</f>
        <v>0</v>
      </c>
      <c r="G403" s="1" t="str">
        <f t="shared" si="6"/>
        <v/>
      </c>
    </row>
    <row r="404" spans="2:7" x14ac:dyDescent="0.25">
      <c r="B404" s="1">
        <f>DATA2!$B404</f>
        <v>0</v>
      </c>
      <c r="G404" s="1" t="str">
        <f t="shared" si="6"/>
        <v/>
      </c>
    </row>
    <row r="405" spans="2:7" x14ac:dyDescent="0.25">
      <c r="B405" s="1">
        <f>DATA2!$B405</f>
        <v>0</v>
      </c>
      <c r="G405" s="1" t="str">
        <f t="shared" si="6"/>
        <v/>
      </c>
    </row>
    <row r="406" spans="2:7" x14ac:dyDescent="0.25">
      <c r="B406" s="1">
        <f>DATA2!$B406</f>
        <v>0</v>
      </c>
      <c r="G406" s="1" t="str">
        <f t="shared" si="6"/>
        <v/>
      </c>
    </row>
    <row r="407" spans="2:7" x14ac:dyDescent="0.25">
      <c r="B407" s="1">
        <f>DATA2!$B407</f>
        <v>0</v>
      </c>
      <c r="G407" s="1" t="str">
        <f t="shared" si="6"/>
        <v/>
      </c>
    </row>
    <row r="408" spans="2:7" x14ac:dyDescent="0.25">
      <c r="B408" s="1">
        <f>DATA2!$B408</f>
        <v>0</v>
      </c>
      <c r="G408" s="1" t="str">
        <f t="shared" si="6"/>
        <v/>
      </c>
    </row>
    <row r="409" spans="2:7" x14ac:dyDescent="0.25">
      <c r="B409" s="1">
        <f>DATA2!$B409</f>
        <v>0</v>
      </c>
      <c r="G409" s="1" t="str">
        <f t="shared" si="6"/>
        <v/>
      </c>
    </row>
    <row r="410" spans="2:7" x14ac:dyDescent="0.25">
      <c r="B410" s="1">
        <f>DATA2!$B410</f>
        <v>0</v>
      </c>
      <c r="G410" s="1" t="str">
        <f t="shared" si="6"/>
        <v/>
      </c>
    </row>
    <row r="411" spans="2:7" x14ac:dyDescent="0.25">
      <c r="B411" s="1">
        <f>DATA2!$B411</f>
        <v>0</v>
      </c>
      <c r="G411" s="1" t="str">
        <f t="shared" si="6"/>
        <v/>
      </c>
    </row>
    <row r="412" spans="2:7" x14ac:dyDescent="0.25">
      <c r="B412" s="1">
        <f>DATA2!$B412</f>
        <v>0</v>
      </c>
      <c r="G412" s="1" t="str">
        <f t="shared" si="6"/>
        <v/>
      </c>
    </row>
    <row r="413" spans="2:7" x14ac:dyDescent="0.25">
      <c r="B413" s="1">
        <f>DATA2!$B413</f>
        <v>0</v>
      </c>
      <c r="G413" s="1" t="str">
        <f t="shared" si="6"/>
        <v/>
      </c>
    </row>
    <row r="414" spans="2:7" x14ac:dyDescent="0.25">
      <c r="B414" s="1">
        <f>DATA2!$B414</f>
        <v>0</v>
      </c>
      <c r="G414" s="1" t="str">
        <f t="shared" si="6"/>
        <v/>
      </c>
    </row>
    <row r="415" spans="2:7" x14ac:dyDescent="0.25">
      <c r="B415" s="1">
        <f>DATA2!$B415</f>
        <v>0</v>
      </c>
      <c r="G415" s="1" t="str">
        <f t="shared" si="6"/>
        <v/>
      </c>
    </row>
    <row r="416" spans="2:7" x14ac:dyDescent="0.25">
      <c r="B416" s="1">
        <f>DATA2!$B416</f>
        <v>0</v>
      </c>
      <c r="G416" s="1" t="str">
        <f t="shared" si="6"/>
        <v/>
      </c>
    </row>
    <row r="417" spans="2:7" x14ac:dyDescent="0.25">
      <c r="B417" s="1">
        <f>DATA2!$B417</f>
        <v>0</v>
      </c>
      <c r="G417" s="1" t="str">
        <f t="shared" si="6"/>
        <v/>
      </c>
    </row>
    <row r="418" spans="2:7" x14ac:dyDescent="0.25">
      <c r="B418" s="1">
        <f>DATA2!$B418</f>
        <v>0</v>
      </c>
      <c r="G418" s="1" t="str">
        <f t="shared" si="6"/>
        <v/>
      </c>
    </row>
    <row r="419" spans="2:7" x14ac:dyDescent="0.25">
      <c r="B419" s="1">
        <f>DATA2!$B419</f>
        <v>0</v>
      </c>
      <c r="G419" s="1" t="str">
        <f t="shared" si="6"/>
        <v/>
      </c>
    </row>
    <row r="420" spans="2:7" x14ac:dyDescent="0.25">
      <c r="B420" s="1">
        <f>DATA2!$B420</f>
        <v>0</v>
      </c>
      <c r="G420" s="1" t="str">
        <f t="shared" si="6"/>
        <v/>
      </c>
    </row>
    <row r="421" spans="2:7" x14ac:dyDescent="0.25">
      <c r="B421" s="1">
        <f>DATA2!$B421</f>
        <v>0</v>
      </c>
      <c r="G421" s="1" t="str">
        <f t="shared" si="6"/>
        <v/>
      </c>
    </row>
    <row r="422" spans="2:7" x14ac:dyDescent="0.25">
      <c r="B422" s="1">
        <f>DATA2!$B422</f>
        <v>0</v>
      </c>
      <c r="G422" s="1" t="str">
        <f t="shared" si="6"/>
        <v/>
      </c>
    </row>
    <row r="423" spans="2:7" x14ac:dyDescent="0.25">
      <c r="B423" s="1">
        <f>DATA2!$B423</f>
        <v>0</v>
      </c>
      <c r="G423" s="1" t="str">
        <f t="shared" si="6"/>
        <v/>
      </c>
    </row>
    <row r="424" spans="2:7" x14ac:dyDescent="0.25">
      <c r="B424" s="1">
        <f>DATA2!$B424</f>
        <v>0</v>
      </c>
      <c r="G424" s="1" t="str">
        <f t="shared" si="6"/>
        <v/>
      </c>
    </row>
    <row r="425" spans="2:7" x14ac:dyDescent="0.25">
      <c r="B425" s="1">
        <f>DATA2!$B425</f>
        <v>0</v>
      </c>
      <c r="G425" s="1" t="str">
        <f t="shared" si="6"/>
        <v/>
      </c>
    </row>
    <row r="426" spans="2:7" x14ac:dyDescent="0.25">
      <c r="B426" s="1">
        <f>DATA2!$B426</f>
        <v>0</v>
      </c>
      <c r="G426" s="1" t="str">
        <f t="shared" si="6"/>
        <v/>
      </c>
    </row>
    <row r="427" spans="2:7" x14ac:dyDescent="0.25">
      <c r="B427" s="1">
        <f>DATA2!$B427</f>
        <v>0</v>
      </c>
      <c r="G427" s="1" t="str">
        <f t="shared" si="6"/>
        <v/>
      </c>
    </row>
    <row r="428" spans="2:7" x14ac:dyDescent="0.25">
      <c r="B428" s="1">
        <f>DATA2!$B428</f>
        <v>0</v>
      </c>
      <c r="G428" s="1" t="str">
        <f t="shared" si="6"/>
        <v/>
      </c>
    </row>
    <row r="429" spans="2:7" x14ac:dyDescent="0.25">
      <c r="B429" s="1">
        <f>DATA2!$B429</f>
        <v>0</v>
      </c>
      <c r="G429" s="1" t="str">
        <f t="shared" si="6"/>
        <v/>
      </c>
    </row>
    <row r="430" spans="2:7" x14ac:dyDescent="0.25">
      <c r="B430" s="1">
        <f>DATA2!$B430</f>
        <v>0</v>
      </c>
      <c r="G430" s="1" t="str">
        <f t="shared" si="6"/>
        <v/>
      </c>
    </row>
    <row r="431" spans="2:7" x14ac:dyDescent="0.25">
      <c r="B431" s="1">
        <f>DATA2!$B431</f>
        <v>0</v>
      </c>
      <c r="G431" s="1" t="str">
        <f t="shared" si="6"/>
        <v/>
      </c>
    </row>
    <row r="432" spans="2:7" x14ac:dyDescent="0.25">
      <c r="B432" s="1">
        <f>DATA2!$B432</f>
        <v>0</v>
      </c>
      <c r="G432" s="1" t="str">
        <f t="shared" si="6"/>
        <v/>
      </c>
    </row>
    <row r="433" spans="2:7" x14ac:dyDescent="0.25">
      <c r="B433" s="1">
        <f>DATA2!$B433</f>
        <v>0</v>
      </c>
      <c r="G433" s="1" t="str">
        <f t="shared" si="6"/>
        <v/>
      </c>
    </row>
    <row r="434" spans="2:7" x14ac:dyDescent="0.25">
      <c r="B434" s="1">
        <f>DATA2!$B434</f>
        <v>0</v>
      </c>
      <c r="G434" s="1" t="str">
        <f t="shared" si="6"/>
        <v/>
      </c>
    </row>
    <row r="435" spans="2:7" x14ac:dyDescent="0.25">
      <c r="B435" s="1">
        <f>DATA2!$B435</f>
        <v>0</v>
      </c>
      <c r="G435" s="1" t="str">
        <f t="shared" si="6"/>
        <v/>
      </c>
    </row>
    <row r="436" spans="2:7" x14ac:dyDescent="0.25">
      <c r="B436" s="1">
        <f>DATA2!$B436</f>
        <v>0</v>
      </c>
      <c r="G436" s="1" t="str">
        <f t="shared" si="6"/>
        <v/>
      </c>
    </row>
    <row r="437" spans="2:7" x14ac:dyDescent="0.25">
      <c r="B437" s="1">
        <f>DATA2!$B437</f>
        <v>0</v>
      </c>
      <c r="G437" s="1" t="str">
        <f t="shared" si="6"/>
        <v/>
      </c>
    </row>
    <row r="438" spans="2:7" x14ac:dyDescent="0.25">
      <c r="B438" s="1">
        <f>DATA2!$B438</f>
        <v>0</v>
      </c>
      <c r="G438" s="1" t="str">
        <f t="shared" si="6"/>
        <v/>
      </c>
    </row>
    <row r="439" spans="2:7" x14ac:dyDescent="0.25">
      <c r="B439" s="1">
        <f>DATA2!$B439</f>
        <v>0</v>
      </c>
      <c r="G439" s="1" t="str">
        <f t="shared" si="6"/>
        <v/>
      </c>
    </row>
    <row r="440" spans="2:7" x14ac:dyDescent="0.25">
      <c r="B440" s="1">
        <f>DATA2!$B440</f>
        <v>0</v>
      </c>
      <c r="G440" s="1" t="str">
        <f t="shared" si="6"/>
        <v/>
      </c>
    </row>
    <row r="441" spans="2:7" x14ac:dyDescent="0.25">
      <c r="B441" s="1">
        <f>DATA2!$B441</f>
        <v>0</v>
      </c>
      <c r="G441" s="1" t="str">
        <f t="shared" si="6"/>
        <v/>
      </c>
    </row>
    <row r="442" spans="2:7" x14ac:dyDescent="0.25">
      <c r="B442" s="1">
        <f>DATA2!$B442</f>
        <v>0</v>
      </c>
      <c r="G442" s="1" t="str">
        <f t="shared" si="6"/>
        <v/>
      </c>
    </row>
    <row r="443" spans="2:7" x14ac:dyDescent="0.25">
      <c r="B443" s="1">
        <f>DATA2!$B443</f>
        <v>0</v>
      </c>
      <c r="G443" s="1" t="str">
        <f t="shared" si="6"/>
        <v/>
      </c>
    </row>
    <row r="444" spans="2:7" x14ac:dyDescent="0.25">
      <c r="B444" s="1">
        <f>DATA2!$B444</f>
        <v>0</v>
      </c>
      <c r="G444" s="1" t="str">
        <f t="shared" si="6"/>
        <v/>
      </c>
    </row>
    <row r="445" spans="2:7" x14ac:dyDescent="0.25">
      <c r="B445" s="1">
        <f>DATA2!$B445</f>
        <v>0</v>
      </c>
      <c r="G445" s="1" t="str">
        <f t="shared" si="6"/>
        <v/>
      </c>
    </row>
    <row r="446" spans="2:7" x14ac:dyDescent="0.25">
      <c r="B446" s="1">
        <f>DATA2!$B446</f>
        <v>0</v>
      </c>
      <c r="G446" s="1" t="str">
        <f t="shared" si="6"/>
        <v/>
      </c>
    </row>
    <row r="447" spans="2:7" x14ac:dyDescent="0.25">
      <c r="B447" s="1">
        <f>DATA2!$B447</f>
        <v>0</v>
      </c>
      <c r="G447" s="1" t="str">
        <f t="shared" si="6"/>
        <v/>
      </c>
    </row>
    <row r="448" spans="2:7" x14ac:dyDescent="0.25">
      <c r="B448" s="1">
        <f>DATA2!$B448</f>
        <v>0</v>
      </c>
      <c r="G448" s="1" t="str">
        <f t="shared" si="6"/>
        <v/>
      </c>
    </row>
    <row r="449" spans="2:7" x14ac:dyDescent="0.25">
      <c r="B449" s="1">
        <f>DATA2!$B449</f>
        <v>0</v>
      </c>
      <c r="G449" s="1" t="str">
        <f t="shared" si="6"/>
        <v/>
      </c>
    </row>
    <row r="450" spans="2:7" x14ac:dyDescent="0.25">
      <c r="B450" s="1">
        <f>DATA2!$B450</f>
        <v>0</v>
      </c>
      <c r="G450" s="1" t="str">
        <f t="shared" si="6"/>
        <v/>
      </c>
    </row>
    <row r="451" spans="2:7" x14ac:dyDescent="0.25">
      <c r="B451" s="1">
        <f>DATA2!$B451</f>
        <v>0</v>
      </c>
      <c r="G451" s="1" t="str">
        <f t="shared" si="6"/>
        <v/>
      </c>
    </row>
    <row r="452" spans="2:7" x14ac:dyDescent="0.25">
      <c r="B452" s="1">
        <f>DATA2!$B452</f>
        <v>0</v>
      </c>
      <c r="G452" s="1" t="str">
        <f t="shared" si="6"/>
        <v/>
      </c>
    </row>
    <row r="453" spans="2:7" x14ac:dyDescent="0.25">
      <c r="B453" s="1">
        <f>DATA2!$B453</f>
        <v>0</v>
      </c>
      <c r="G453" s="1" t="str">
        <f t="shared" si="6"/>
        <v/>
      </c>
    </row>
    <row r="454" spans="2:7" x14ac:dyDescent="0.25">
      <c r="B454" s="1">
        <f>DATA2!$B454</f>
        <v>0</v>
      </c>
      <c r="G454" s="1" t="str">
        <f t="shared" si="6"/>
        <v/>
      </c>
    </row>
    <row r="455" spans="2:7" x14ac:dyDescent="0.25">
      <c r="B455" s="1">
        <f>DATA2!$B455</f>
        <v>0</v>
      </c>
      <c r="G455" s="1" t="str">
        <f t="shared" si="6"/>
        <v/>
      </c>
    </row>
    <row r="456" spans="2:7" x14ac:dyDescent="0.25">
      <c r="B456" s="1">
        <f>DATA2!$B456</f>
        <v>0</v>
      </c>
      <c r="G456" s="1" t="str">
        <f t="shared" si="6"/>
        <v/>
      </c>
    </row>
    <row r="457" spans="2:7" x14ac:dyDescent="0.25">
      <c r="B457" s="1">
        <f>DATA2!$B457</f>
        <v>0</v>
      </c>
      <c r="G457" s="1" t="str">
        <f t="shared" ref="G457:G509" si="7">IF(LEN(C457) + LEN(D457) + LEN(E457)  + LEN(F457)&gt; 0, TEXT(MAX(C457:F457),"mm/dd/yyyy hh:mm"),"")</f>
        <v/>
      </c>
    </row>
    <row r="458" spans="2:7" x14ac:dyDescent="0.25">
      <c r="B458" s="1">
        <f>DATA2!$B458</f>
        <v>0</v>
      </c>
      <c r="G458" s="1" t="str">
        <f t="shared" si="7"/>
        <v/>
      </c>
    </row>
    <row r="459" spans="2:7" x14ac:dyDescent="0.25">
      <c r="B459" s="1">
        <f>DATA2!$B459</f>
        <v>0</v>
      </c>
      <c r="G459" s="1" t="str">
        <f t="shared" si="7"/>
        <v/>
      </c>
    </row>
    <row r="460" spans="2:7" x14ac:dyDescent="0.25">
      <c r="B460" s="1">
        <f>DATA2!$B460</f>
        <v>0</v>
      </c>
      <c r="G460" s="1" t="str">
        <f t="shared" si="7"/>
        <v/>
      </c>
    </row>
    <row r="461" spans="2:7" x14ac:dyDescent="0.25">
      <c r="B461" s="1">
        <f>DATA2!$B461</f>
        <v>0</v>
      </c>
      <c r="G461" s="1" t="str">
        <f t="shared" si="7"/>
        <v/>
      </c>
    </row>
    <row r="462" spans="2:7" x14ac:dyDescent="0.25">
      <c r="B462" s="1">
        <f>DATA2!$B462</f>
        <v>0</v>
      </c>
      <c r="G462" s="1" t="str">
        <f t="shared" si="7"/>
        <v/>
      </c>
    </row>
    <row r="463" spans="2:7" x14ac:dyDescent="0.25">
      <c r="B463" s="1">
        <f>DATA2!$B463</f>
        <v>0</v>
      </c>
      <c r="G463" s="1" t="str">
        <f t="shared" si="7"/>
        <v/>
      </c>
    </row>
    <row r="464" spans="2:7" x14ac:dyDescent="0.25">
      <c r="B464" s="1">
        <f>DATA2!$B464</f>
        <v>0</v>
      </c>
      <c r="G464" s="1" t="str">
        <f t="shared" si="7"/>
        <v/>
      </c>
    </row>
    <row r="465" spans="2:7" x14ac:dyDescent="0.25">
      <c r="B465" s="1">
        <f>DATA2!$B465</f>
        <v>0</v>
      </c>
      <c r="G465" s="1" t="str">
        <f t="shared" si="7"/>
        <v/>
      </c>
    </row>
    <row r="466" spans="2:7" x14ac:dyDescent="0.25">
      <c r="B466" s="1">
        <f>DATA2!$B466</f>
        <v>0</v>
      </c>
      <c r="G466" s="1" t="str">
        <f t="shared" si="7"/>
        <v/>
      </c>
    </row>
    <row r="467" spans="2:7" x14ac:dyDescent="0.25">
      <c r="B467" s="1">
        <f>DATA2!$B467</f>
        <v>0</v>
      </c>
      <c r="G467" s="1" t="str">
        <f t="shared" si="7"/>
        <v/>
      </c>
    </row>
    <row r="468" spans="2:7" x14ac:dyDescent="0.25">
      <c r="B468" s="1">
        <f>DATA2!$B468</f>
        <v>0</v>
      </c>
      <c r="G468" s="1" t="str">
        <f t="shared" si="7"/>
        <v/>
      </c>
    </row>
    <row r="469" spans="2:7" x14ac:dyDescent="0.25">
      <c r="B469" s="1">
        <f>DATA2!$B469</f>
        <v>0</v>
      </c>
      <c r="G469" s="1" t="str">
        <f t="shared" si="7"/>
        <v/>
      </c>
    </row>
    <row r="470" spans="2:7" x14ac:dyDescent="0.25">
      <c r="B470" s="1">
        <f>DATA2!$B470</f>
        <v>0</v>
      </c>
      <c r="G470" s="1" t="str">
        <f t="shared" si="7"/>
        <v/>
      </c>
    </row>
    <row r="471" spans="2:7" x14ac:dyDescent="0.25">
      <c r="B471" s="1">
        <f>DATA2!$B471</f>
        <v>0</v>
      </c>
      <c r="G471" s="1" t="str">
        <f t="shared" si="7"/>
        <v/>
      </c>
    </row>
    <row r="472" spans="2:7" x14ac:dyDescent="0.25">
      <c r="B472" s="1">
        <f>DATA2!$B472</f>
        <v>0</v>
      </c>
      <c r="G472" s="1" t="str">
        <f t="shared" si="7"/>
        <v/>
      </c>
    </row>
    <row r="473" spans="2:7" x14ac:dyDescent="0.25">
      <c r="B473" s="1">
        <f>DATA2!$B473</f>
        <v>0</v>
      </c>
      <c r="G473" s="1" t="str">
        <f t="shared" si="7"/>
        <v/>
      </c>
    </row>
    <row r="474" spans="2:7" x14ac:dyDescent="0.25">
      <c r="B474" s="1">
        <f>DATA2!$B474</f>
        <v>0</v>
      </c>
      <c r="G474" s="1" t="str">
        <f t="shared" si="7"/>
        <v/>
      </c>
    </row>
    <row r="475" spans="2:7" x14ac:dyDescent="0.25">
      <c r="B475" s="1">
        <f>DATA2!$B475</f>
        <v>0</v>
      </c>
      <c r="G475" s="1" t="str">
        <f t="shared" si="7"/>
        <v/>
      </c>
    </row>
    <row r="476" spans="2:7" x14ac:dyDescent="0.25">
      <c r="B476" s="1">
        <f>DATA2!$B476</f>
        <v>0</v>
      </c>
      <c r="G476" s="1" t="str">
        <f t="shared" si="7"/>
        <v/>
      </c>
    </row>
    <row r="477" spans="2:7" x14ac:dyDescent="0.25">
      <c r="B477" s="1">
        <f>DATA2!$B477</f>
        <v>0</v>
      </c>
      <c r="G477" s="1" t="str">
        <f t="shared" si="7"/>
        <v/>
      </c>
    </row>
    <row r="478" spans="2:7" x14ac:dyDescent="0.25">
      <c r="B478" s="1">
        <f>DATA2!$B478</f>
        <v>0</v>
      </c>
      <c r="G478" s="1" t="str">
        <f t="shared" si="7"/>
        <v/>
      </c>
    </row>
    <row r="479" spans="2:7" x14ac:dyDescent="0.25">
      <c r="B479" s="1">
        <f>DATA2!$B479</f>
        <v>0</v>
      </c>
      <c r="G479" s="1" t="str">
        <f t="shared" si="7"/>
        <v/>
      </c>
    </row>
    <row r="480" spans="2:7" x14ac:dyDescent="0.25">
      <c r="B480" s="1">
        <f>DATA2!$B480</f>
        <v>0</v>
      </c>
      <c r="G480" s="1" t="str">
        <f t="shared" si="7"/>
        <v/>
      </c>
    </row>
    <row r="481" spans="2:7" x14ac:dyDescent="0.25">
      <c r="B481" s="1">
        <f>DATA2!$B481</f>
        <v>0</v>
      </c>
      <c r="G481" s="1" t="str">
        <f t="shared" si="7"/>
        <v/>
      </c>
    </row>
    <row r="482" spans="2:7" x14ac:dyDescent="0.25">
      <c r="B482" s="1">
        <f>DATA2!$B482</f>
        <v>0</v>
      </c>
      <c r="G482" s="1" t="str">
        <f t="shared" si="7"/>
        <v/>
      </c>
    </row>
    <row r="483" spans="2:7" x14ac:dyDescent="0.25">
      <c r="B483" s="1">
        <f>DATA2!$B483</f>
        <v>0</v>
      </c>
      <c r="G483" s="1" t="str">
        <f t="shared" si="7"/>
        <v/>
      </c>
    </row>
    <row r="484" spans="2:7" x14ac:dyDescent="0.25">
      <c r="B484" s="1">
        <f>DATA2!$B484</f>
        <v>0</v>
      </c>
      <c r="G484" s="1" t="str">
        <f t="shared" si="7"/>
        <v/>
      </c>
    </row>
    <row r="485" spans="2:7" x14ac:dyDescent="0.25">
      <c r="B485" s="1">
        <f>DATA2!$B485</f>
        <v>0</v>
      </c>
      <c r="G485" s="1" t="str">
        <f t="shared" si="7"/>
        <v/>
      </c>
    </row>
    <row r="486" spans="2:7" x14ac:dyDescent="0.25">
      <c r="B486" s="1">
        <f>DATA2!$B486</f>
        <v>0</v>
      </c>
      <c r="G486" s="1" t="str">
        <f t="shared" si="7"/>
        <v/>
      </c>
    </row>
    <row r="487" spans="2:7" x14ac:dyDescent="0.25">
      <c r="B487" s="1">
        <f>DATA2!$B487</f>
        <v>0</v>
      </c>
      <c r="G487" s="1" t="str">
        <f t="shared" si="7"/>
        <v/>
      </c>
    </row>
    <row r="488" spans="2:7" x14ac:dyDescent="0.25">
      <c r="B488" s="1">
        <f>DATA2!$B488</f>
        <v>0</v>
      </c>
      <c r="G488" s="1" t="str">
        <f t="shared" si="7"/>
        <v/>
      </c>
    </row>
    <row r="489" spans="2:7" x14ac:dyDescent="0.25">
      <c r="B489" s="1">
        <f>DATA2!$B489</f>
        <v>0</v>
      </c>
      <c r="G489" s="1" t="str">
        <f t="shared" si="7"/>
        <v/>
      </c>
    </row>
    <row r="490" spans="2:7" x14ac:dyDescent="0.25">
      <c r="B490" s="1">
        <f>DATA2!$B490</f>
        <v>0</v>
      </c>
      <c r="G490" s="1" t="str">
        <f t="shared" si="7"/>
        <v/>
      </c>
    </row>
    <row r="491" spans="2:7" x14ac:dyDescent="0.25">
      <c r="B491" s="1">
        <f>DATA2!$B491</f>
        <v>0</v>
      </c>
      <c r="G491" s="1" t="str">
        <f t="shared" si="7"/>
        <v/>
      </c>
    </row>
    <row r="492" spans="2:7" x14ac:dyDescent="0.25">
      <c r="B492" s="1">
        <f>DATA2!$B492</f>
        <v>0</v>
      </c>
      <c r="G492" s="1" t="str">
        <f t="shared" si="7"/>
        <v/>
      </c>
    </row>
    <row r="493" spans="2:7" x14ac:dyDescent="0.25">
      <c r="B493" s="1">
        <f>DATA2!$B493</f>
        <v>0</v>
      </c>
      <c r="G493" s="1" t="str">
        <f t="shared" si="7"/>
        <v/>
      </c>
    </row>
    <row r="494" spans="2:7" x14ac:dyDescent="0.25">
      <c r="B494" s="1">
        <f>DATA2!$B494</f>
        <v>0</v>
      </c>
      <c r="G494" s="1" t="str">
        <f t="shared" si="7"/>
        <v/>
      </c>
    </row>
    <row r="495" spans="2:7" x14ac:dyDescent="0.25">
      <c r="B495" s="1">
        <f>DATA2!$B495</f>
        <v>0</v>
      </c>
      <c r="G495" s="1" t="str">
        <f t="shared" si="7"/>
        <v/>
      </c>
    </row>
    <row r="496" spans="2:7" x14ac:dyDescent="0.25">
      <c r="B496" s="1">
        <f>DATA2!$B496</f>
        <v>0</v>
      </c>
      <c r="G496" s="1" t="str">
        <f t="shared" si="7"/>
        <v/>
      </c>
    </row>
    <row r="497" spans="2:7" x14ac:dyDescent="0.25">
      <c r="B497" s="1">
        <f>DATA2!$B497</f>
        <v>0</v>
      </c>
      <c r="G497" s="1" t="str">
        <f t="shared" si="7"/>
        <v/>
      </c>
    </row>
    <row r="498" spans="2:7" x14ac:dyDescent="0.25">
      <c r="B498" s="1">
        <f>DATA2!$B498</f>
        <v>0</v>
      </c>
      <c r="G498" s="1" t="str">
        <f t="shared" si="7"/>
        <v/>
      </c>
    </row>
    <row r="499" spans="2:7" x14ac:dyDescent="0.25">
      <c r="B499" s="1">
        <f>DATA2!$B499</f>
        <v>0</v>
      </c>
      <c r="G499" s="1" t="str">
        <f t="shared" si="7"/>
        <v/>
      </c>
    </row>
    <row r="500" spans="2:7" x14ac:dyDescent="0.25">
      <c r="B500" s="1">
        <f>DATA2!$B500</f>
        <v>0</v>
      </c>
      <c r="G500" s="1" t="str">
        <f t="shared" si="7"/>
        <v/>
      </c>
    </row>
    <row r="501" spans="2:7" x14ac:dyDescent="0.25">
      <c r="B501" s="1">
        <f>DATA2!$B501</f>
        <v>0</v>
      </c>
      <c r="G501" s="1" t="str">
        <f t="shared" si="7"/>
        <v/>
      </c>
    </row>
    <row r="502" spans="2:7" x14ac:dyDescent="0.25">
      <c r="B502" s="1">
        <f>DATA2!$B502</f>
        <v>0</v>
      </c>
      <c r="G502" s="1" t="str">
        <f t="shared" si="7"/>
        <v/>
      </c>
    </row>
    <row r="503" spans="2:7" x14ac:dyDescent="0.25">
      <c r="B503" s="1">
        <f>DATA2!$B503</f>
        <v>0</v>
      </c>
      <c r="G503" s="1" t="str">
        <f t="shared" si="7"/>
        <v/>
      </c>
    </row>
    <row r="504" spans="2:7" x14ac:dyDescent="0.25">
      <c r="B504" s="1">
        <f>DATA2!$B504</f>
        <v>0</v>
      </c>
      <c r="G504" s="1" t="str">
        <f t="shared" si="7"/>
        <v/>
      </c>
    </row>
    <row r="505" spans="2:7" x14ac:dyDescent="0.25">
      <c r="B505" s="1">
        <f>DATA2!$B505</f>
        <v>0</v>
      </c>
      <c r="G505" s="1" t="str">
        <f t="shared" si="7"/>
        <v/>
      </c>
    </row>
    <row r="506" spans="2:7" x14ac:dyDescent="0.25">
      <c r="B506" s="1">
        <f>DATA2!$B506</f>
        <v>0</v>
      </c>
      <c r="G506" s="1" t="str">
        <f t="shared" si="7"/>
        <v/>
      </c>
    </row>
    <row r="507" spans="2:7" x14ac:dyDescent="0.25">
      <c r="B507" s="1">
        <f>DATA2!$B507</f>
        <v>0</v>
      </c>
      <c r="G507" s="1" t="str">
        <f t="shared" si="7"/>
        <v/>
      </c>
    </row>
    <row r="508" spans="2:7" x14ac:dyDescent="0.25">
      <c r="B508" s="1">
        <f>DATA2!$B508</f>
        <v>0</v>
      </c>
      <c r="G508" s="1" t="str">
        <f t="shared" si="7"/>
        <v/>
      </c>
    </row>
    <row r="509" spans="2:7" x14ac:dyDescent="0.25">
      <c r="B509" s="1">
        <f>DATA2!$B509</f>
        <v>0</v>
      </c>
      <c r="G509" s="1" t="str">
        <f t="shared" si="7"/>
        <v/>
      </c>
    </row>
    <row r="2476" spans="3:3" x14ac:dyDescent="0.25">
      <c r="C2476" s="1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G122"/>
  <sheetViews>
    <sheetView workbookViewId="0">
      <selection activeCell="C8" sqref="C8:G122"/>
    </sheetView>
  </sheetViews>
  <sheetFormatPr defaultColWidth="9.140625" defaultRowHeight="15" x14ac:dyDescent="0.25"/>
  <cols>
    <col min="1" max="1" width="9.140625" style="4"/>
    <col min="2" max="2" width="16.85546875" style="1" customWidth="1"/>
    <col min="3" max="3" width="13.28515625" style="3" customWidth="1"/>
    <col min="4" max="4" width="20.85546875" style="4" customWidth="1"/>
    <col min="5" max="5" width="59.85546875" style="4" customWidth="1"/>
    <col min="6" max="6" width="85" style="4" customWidth="1"/>
    <col min="7" max="7" width="45.140625" style="4" customWidth="1"/>
    <col min="8" max="16384" width="9.140625" style="4"/>
  </cols>
  <sheetData>
    <row r="1" spans="2:7" x14ac:dyDescent="0.25">
      <c r="D1" s="4" t="s">
        <v>12</v>
      </c>
    </row>
    <row r="2" spans="2:7" x14ac:dyDescent="0.25">
      <c r="D2" s="7" t="str">
        <f ca="1">SUBSTITUTE(SUBSTITUTE(SUBSTITUTE(CELL("filename"),RIGHT(CELL("filename",B1),LEN(CELL("filename",B1))-FIND("]",CELL("filename",B1))),""),"[",""),"]","")</f>
        <v>C:\Users\kryan\Desktop\Compliance_Audits_Dev\Files\INPATIENT\Reports\REVIEW\8ikY7VHS2xWE.xlsmREVIEW</v>
      </c>
    </row>
    <row r="3" spans="2:7" x14ac:dyDescent="0.25">
      <c r="D3" s="7"/>
    </row>
    <row r="4" spans="2:7" x14ac:dyDescent="0.25">
      <c r="D4" s="7"/>
    </row>
    <row r="5" spans="2:7" x14ac:dyDescent="0.25">
      <c r="D5" s="7"/>
    </row>
    <row r="6" spans="2:7" x14ac:dyDescent="0.25">
      <c r="D6" s="7"/>
    </row>
    <row r="8" spans="2:7" s="3" customFormat="1" x14ac:dyDescent="0.25">
      <c r="B8" s="2" t="s">
        <v>15</v>
      </c>
      <c r="C8" s="6" t="s">
        <v>0</v>
      </c>
      <c r="D8" s="6" t="s">
        <v>1</v>
      </c>
      <c r="E8" s="6" t="s">
        <v>8</v>
      </c>
      <c r="F8" s="6" t="s">
        <v>9</v>
      </c>
      <c r="G8" s="6" t="s">
        <v>10</v>
      </c>
    </row>
    <row r="9" spans="2:7" ht="90" x14ac:dyDescent="0.25">
      <c r="B9" s="2">
        <f t="shared" ref="B9:B40" si="0">IF(ISBLANK(C9),"",IF(NOT(_xlfn.ISFORMULA(B8)),1,B8+1))</f>
        <v>1</v>
      </c>
      <c r="C9" s="6" t="s">
        <v>151</v>
      </c>
      <c r="D9" s="5">
        <v>80808022</v>
      </c>
      <c r="E9" s="5" t="s">
        <v>152</v>
      </c>
      <c r="F9" s="5" t="s">
        <v>153</v>
      </c>
      <c r="G9" s="5" t="s">
        <v>153</v>
      </c>
    </row>
    <row r="10" spans="2:7" ht="90" x14ac:dyDescent="0.25">
      <c r="B10" s="2">
        <f t="shared" si="0"/>
        <v>2</v>
      </c>
      <c r="C10" s="6" t="s">
        <v>154</v>
      </c>
      <c r="D10" s="5">
        <v>80808095</v>
      </c>
      <c r="E10" s="5" t="s">
        <v>153</v>
      </c>
      <c r="F10" s="5" t="s">
        <v>155</v>
      </c>
      <c r="G10" s="5" t="s">
        <v>153</v>
      </c>
    </row>
    <row r="11" spans="2:7" ht="120" x14ac:dyDescent="0.25">
      <c r="B11" s="2">
        <f t="shared" si="0"/>
        <v>3</v>
      </c>
      <c r="C11" s="6" t="s">
        <v>154</v>
      </c>
      <c r="D11" s="5">
        <v>80808095</v>
      </c>
      <c r="E11" s="5" t="s">
        <v>153</v>
      </c>
      <c r="F11" s="5" t="s">
        <v>156</v>
      </c>
      <c r="G11" s="5" t="s">
        <v>153</v>
      </c>
    </row>
    <row r="12" spans="2:7" ht="120" x14ac:dyDescent="0.25">
      <c r="B12" s="2">
        <f t="shared" si="0"/>
        <v>4</v>
      </c>
      <c r="C12" s="6" t="s">
        <v>154</v>
      </c>
      <c r="D12" s="5">
        <v>80808095</v>
      </c>
      <c r="E12" s="5" t="s">
        <v>153</v>
      </c>
      <c r="F12" s="5" t="s">
        <v>157</v>
      </c>
      <c r="G12" s="5" t="s">
        <v>153</v>
      </c>
    </row>
    <row r="13" spans="2:7" ht="120" x14ac:dyDescent="0.25">
      <c r="B13" s="2">
        <f t="shared" si="0"/>
        <v>5</v>
      </c>
      <c r="C13" s="6" t="s">
        <v>154</v>
      </c>
      <c r="D13" s="5">
        <v>80808095</v>
      </c>
      <c r="E13" s="5" t="s">
        <v>153</v>
      </c>
      <c r="F13" s="5" t="s">
        <v>158</v>
      </c>
      <c r="G13" s="5" t="s">
        <v>153</v>
      </c>
    </row>
    <row r="14" spans="2:7" ht="120" x14ac:dyDescent="0.25">
      <c r="B14" s="2">
        <f t="shared" si="0"/>
        <v>6</v>
      </c>
      <c r="C14" s="6" t="s">
        <v>154</v>
      </c>
      <c r="D14" s="5">
        <v>80808095</v>
      </c>
      <c r="E14" s="5" t="s">
        <v>153</v>
      </c>
      <c r="F14" s="5" t="s">
        <v>159</v>
      </c>
      <c r="G14" s="5" t="s">
        <v>153</v>
      </c>
    </row>
    <row r="15" spans="2:7" ht="120" x14ac:dyDescent="0.25">
      <c r="B15" s="2">
        <f t="shared" si="0"/>
        <v>7</v>
      </c>
      <c r="C15" s="6" t="s">
        <v>154</v>
      </c>
      <c r="D15" s="5">
        <v>80808095</v>
      </c>
      <c r="E15" s="5" t="s">
        <v>153</v>
      </c>
      <c r="F15" s="5" t="s">
        <v>160</v>
      </c>
      <c r="G15" s="5" t="s">
        <v>153</v>
      </c>
    </row>
    <row r="16" spans="2:7" ht="120" x14ac:dyDescent="0.25">
      <c r="B16" s="2">
        <f t="shared" si="0"/>
        <v>8</v>
      </c>
      <c r="C16" s="6" t="s">
        <v>154</v>
      </c>
      <c r="D16" s="5">
        <v>80808095</v>
      </c>
      <c r="E16" s="5" t="s">
        <v>153</v>
      </c>
      <c r="F16" s="5" t="s">
        <v>161</v>
      </c>
      <c r="G16" s="5" t="s">
        <v>153</v>
      </c>
    </row>
    <row r="17" spans="2:7" ht="90" x14ac:dyDescent="0.25">
      <c r="B17" s="2">
        <f t="shared" si="0"/>
        <v>9</v>
      </c>
      <c r="C17" s="6" t="s">
        <v>154</v>
      </c>
      <c r="D17" s="5">
        <v>80808095</v>
      </c>
      <c r="E17" s="5" t="s">
        <v>153</v>
      </c>
      <c r="F17" s="5" t="s">
        <v>162</v>
      </c>
      <c r="G17" s="5" t="s">
        <v>153</v>
      </c>
    </row>
    <row r="18" spans="2:7" ht="105" x14ac:dyDescent="0.25">
      <c r="B18" s="2">
        <f t="shared" si="0"/>
        <v>10</v>
      </c>
      <c r="C18" s="6" t="s">
        <v>154</v>
      </c>
      <c r="D18" s="5">
        <v>80808095</v>
      </c>
      <c r="E18" s="5" t="s">
        <v>153</v>
      </c>
      <c r="F18" s="5" t="s">
        <v>163</v>
      </c>
      <c r="G18" s="5" t="s">
        <v>164</v>
      </c>
    </row>
    <row r="19" spans="2:7" ht="75" x14ac:dyDescent="0.25">
      <c r="B19" s="2">
        <f t="shared" si="0"/>
        <v>11</v>
      </c>
      <c r="C19" s="6" t="s">
        <v>154</v>
      </c>
      <c r="D19" s="5">
        <v>80808095</v>
      </c>
      <c r="E19" s="5" t="s">
        <v>153</v>
      </c>
      <c r="F19" s="5" t="s">
        <v>165</v>
      </c>
      <c r="G19" s="5" t="s">
        <v>153</v>
      </c>
    </row>
    <row r="20" spans="2:7" ht="105" x14ac:dyDescent="0.25">
      <c r="B20" s="2">
        <f t="shared" si="0"/>
        <v>12</v>
      </c>
      <c r="C20" s="6" t="s">
        <v>154</v>
      </c>
      <c r="D20" s="5">
        <v>80808095</v>
      </c>
      <c r="E20" s="5" t="s">
        <v>153</v>
      </c>
      <c r="F20" s="5" t="s">
        <v>166</v>
      </c>
      <c r="G20" s="5" t="s">
        <v>167</v>
      </c>
    </row>
    <row r="21" spans="2:7" ht="150" x14ac:dyDescent="0.25">
      <c r="B21" s="2">
        <f t="shared" si="0"/>
        <v>13</v>
      </c>
      <c r="C21" s="6" t="s">
        <v>154</v>
      </c>
      <c r="D21" s="5">
        <v>80808095</v>
      </c>
      <c r="E21" s="5" t="s">
        <v>153</v>
      </c>
      <c r="F21" s="5" t="s">
        <v>168</v>
      </c>
      <c r="G21" s="5" t="s">
        <v>153</v>
      </c>
    </row>
    <row r="22" spans="2:7" ht="105" x14ac:dyDescent="0.25">
      <c r="B22" s="2">
        <f t="shared" si="0"/>
        <v>14</v>
      </c>
      <c r="C22" s="6" t="s">
        <v>154</v>
      </c>
      <c r="D22" s="5">
        <v>80808095</v>
      </c>
      <c r="E22" s="5" t="s">
        <v>153</v>
      </c>
      <c r="F22" s="5" t="s">
        <v>153</v>
      </c>
      <c r="G22" s="5" t="s">
        <v>169</v>
      </c>
    </row>
    <row r="23" spans="2:7" ht="75" x14ac:dyDescent="0.25">
      <c r="B23" s="2">
        <f t="shared" si="0"/>
        <v>15</v>
      </c>
      <c r="C23" s="6" t="s">
        <v>154</v>
      </c>
      <c r="D23" s="5">
        <v>80808095</v>
      </c>
      <c r="E23" s="5" t="s">
        <v>153</v>
      </c>
      <c r="F23" s="5" t="s">
        <v>170</v>
      </c>
      <c r="G23" s="5" t="s">
        <v>153</v>
      </c>
    </row>
    <row r="24" spans="2:7" ht="105" x14ac:dyDescent="0.25">
      <c r="B24" s="2">
        <f t="shared" si="0"/>
        <v>16</v>
      </c>
      <c r="C24" s="6" t="s">
        <v>171</v>
      </c>
      <c r="D24" s="5">
        <v>80808144</v>
      </c>
      <c r="E24" s="5" t="s">
        <v>153</v>
      </c>
      <c r="F24" s="5" t="s">
        <v>172</v>
      </c>
      <c r="G24" s="5" t="s">
        <v>173</v>
      </c>
    </row>
    <row r="25" spans="2:7" ht="105" x14ac:dyDescent="0.25">
      <c r="B25" s="2">
        <f t="shared" si="0"/>
        <v>17</v>
      </c>
      <c r="C25" s="6" t="s">
        <v>171</v>
      </c>
      <c r="D25" s="5">
        <v>80808144</v>
      </c>
      <c r="E25" s="5" t="s">
        <v>153</v>
      </c>
      <c r="F25" s="5" t="s">
        <v>174</v>
      </c>
      <c r="G25" s="5" t="s">
        <v>175</v>
      </c>
    </row>
    <row r="26" spans="2:7" ht="75" x14ac:dyDescent="0.25">
      <c r="B26" s="2">
        <f t="shared" si="0"/>
        <v>18</v>
      </c>
      <c r="C26" s="6" t="s">
        <v>171</v>
      </c>
      <c r="D26" s="5">
        <v>80808144</v>
      </c>
      <c r="E26" s="5" t="s">
        <v>153</v>
      </c>
      <c r="F26" s="5" t="s">
        <v>176</v>
      </c>
      <c r="G26" s="5" t="s">
        <v>153</v>
      </c>
    </row>
    <row r="27" spans="2:7" ht="75" x14ac:dyDescent="0.25">
      <c r="B27" s="2">
        <f t="shared" si="0"/>
        <v>19</v>
      </c>
      <c r="C27" s="6" t="s">
        <v>171</v>
      </c>
      <c r="D27" s="5">
        <v>80808144</v>
      </c>
      <c r="E27" s="5" t="s">
        <v>153</v>
      </c>
      <c r="F27" s="5" t="s">
        <v>177</v>
      </c>
      <c r="G27" s="5" t="s">
        <v>153</v>
      </c>
    </row>
    <row r="28" spans="2:7" ht="75" x14ac:dyDescent="0.25">
      <c r="B28" s="2">
        <f t="shared" si="0"/>
        <v>20</v>
      </c>
      <c r="C28" s="6" t="s">
        <v>171</v>
      </c>
      <c r="D28" s="5">
        <v>80808144</v>
      </c>
      <c r="E28" s="5" t="s">
        <v>153</v>
      </c>
      <c r="F28" s="5" t="s">
        <v>178</v>
      </c>
      <c r="G28" s="5" t="s">
        <v>153</v>
      </c>
    </row>
    <row r="29" spans="2:7" ht="75" x14ac:dyDescent="0.25">
      <c r="B29" s="2">
        <f t="shared" si="0"/>
        <v>21</v>
      </c>
      <c r="C29" s="6" t="s">
        <v>171</v>
      </c>
      <c r="D29" s="6">
        <v>80808144</v>
      </c>
      <c r="E29" s="5" t="s">
        <v>153</v>
      </c>
      <c r="F29" s="5" t="s">
        <v>179</v>
      </c>
      <c r="G29" s="5" t="s">
        <v>153</v>
      </c>
    </row>
    <row r="30" spans="2:7" ht="150" x14ac:dyDescent="0.25">
      <c r="B30" s="2">
        <f t="shared" si="0"/>
        <v>22</v>
      </c>
      <c r="C30" s="6" t="s">
        <v>171</v>
      </c>
      <c r="D30" s="6">
        <v>80808144</v>
      </c>
      <c r="E30" s="5" t="s">
        <v>153</v>
      </c>
      <c r="F30" s="5" t="s">
        <v>180</v>
      </c>
      <c r="G30" s="5" t="s">
        <v>181</v>
      </c>
    </row>
    <row r="31" spans="2:7" ht="75" x14ac:dyDescent="0.25">
      <c r="B31" s="2">
        <f t="shared" si="0"/>
        <v>23</v>
      </c>
      <c r="C31" s="6" t="s">
        <v>171</v>
      </c>
      <c r="D31" s="6">
        <v>80808144</v>
      </c>
      <c r="E31" s="5" t="s">
        <v>153</v>
      </c>
      <c r="F31" s="5" t="s">
        <v>182</v>
      </c>
      <c r="G31" s="5" t="s">
        <v>153</v>
      </c>
    </row>
    <row r="32" spans="2:7" ht="75" x14ac:dyDescent="0.25">
      <c r="B32" s="2">
        <f t="shared" si="0"/>
        <v>24</v>
      </c>
      <c r="C32" s="6" t="s">
        <v>171</v>
      </c>
      <c r="D32" s="6">
        <v>80808144</v>
      </c>
      <c r="E32" s="5" t="s">
        <v>153</v>
      </c>
      <c r="F32" s="5" t="s">
        <v>183</v>
      </c>
      <c r="G32" s="5" t="s">
        <v>153</v>
      </c>
    </row>
    <row r="33" spans="2:7" ht="75" x14ac:dyDescent="0.25">
      <c r="B33" s="2">
        <f t="shared" si="0"/>
        <v>25</v>
      </c>
      <c r="C33" s="6" t="s">
        <v>171</v>
      </c>
      <c r="D33" s="6">
        <v>80808144</v>
      </c>
      <c r="E33" s="5" t="s">
        <v>153</v>
      </c>
      <c r="F33" s="5" t="s">
        <v>184</v>
      </c>
      <c r="G33" s="5" t="s">
        <v>153</v>
      </c>
    </row>
    <row r="34" spans="2:7" ht="150" x14ac:dyDescent="0.25">
      <c r="B34" s="2">
        <f t="shared" si="0"/>
        <v>26</v>
      </c>
      <c r="C34" s="6" t="s">
        <v>171</v>
      </c>
      <c r="D34" s="6">
        <v>80808144</v>
      </c>
      <c r="E34" s="5" t="s">
        <v>153</v>
      </c>
      <c r="F34" s="5" t="s">
        <v>185</v>
      </c>
      <c r="G34" s="5" t="s">
        <v>153</v>
      </c>
    </row>
    <row r="35" spans="2:7" ht="150" x14ac:dyDescent="0.25">
      <c r="B35" s="2">
        <f t="shared" si="0"/>
        <v>27</v>
      </c>
      <c r="C35" s="6" t="s">
        <v>171</v>
      </c>
      <c r="D35" s="6">
        <v>80808144</v>
      </c>
      <c r="E35" s="5" t="s">
        <v>153</v>
      </c>
      <c r="F35" s="5" t="s">
        <v>186</v>
      </c>
      <c r="G35" s="5" t="s">
        <v>153</v>
      </c>
    </row>
    <row r="36" spans="2:7" ht="150" x14ac:dyDescent="0.25">
      <c r="B36" s="2">
        <f t="shared" si="0"/>
        <v>28</v>
      </c>
      <c r="C36" s="6" t="s">
        <v>171</v>
      </c>
      <c r="D36" s="6">
        <v>80808144</v>
      </c>
      <c r="E36" s="5" t="s">
        <v>153</v>
      </c>
      <c r="F36" s="5" t="s">
        <v>187</v>
      </c>
      <c r="G36" s="5" t="s">
        <v>153</v>
      </c>
    </row>
    <row r="37" spans="2:7" ht="75" x14ac:dyDescent="0.25">
      <c r="B37" s="2">
        <f t="shared" si="0"/>
        <v>29</v>
      </c>
      <c r="C37" s="6" t="s">
        <v>171</v>
      </c>
      <c r="D37" s="6">
        <v>80808144</v>
      </c>
      <c r="E37" s="5" t="s">
        <v>153</v>
      </c>
      <c r="F37" s="5" t="s">
        <v>188</v>
      </c>
      <c r="G37" s="5" t="s">
        <v>153</v>
      </c>
    </row>
    <row r="38" spans="2:7" ht="105" x14ac:dyDescent="0.25">
      <c r="B38" s="2">
        <f t="shared" si="0"/>
        <v>30</v>
      </c>
      <c r="C38" s="6" t="s">
        <v>171</v>
      </c>
      <c r="D38" s="6">
        <v>80808144</v>
      </c>
      <c r="E38" s="5" t="s">
        <v>153</v>
      </c>
      <c r="F38" s="5" t="s">
        <v>189</v>
      </c>
      <c r="G38" s="5" t="s">
        <v>190</v>
      </c>
    </row>
    <row r="39" spans="2:7" ht="135" x14ac:dyDescent="0.25">
      <c r="B39" s="2">
        <f t="shared" si="0"/>
        <v>31</v>
      </c>
      <c r="C39" s="6" t="s">
        <v>171</v>
      </c>
      <c r="D39" s="6">
        <v>80808144</v>
      </c>
      <c r="E39" s="5" t="s">
        <v>153</v>
      </c>
      <c r="F39" s="5" t="s">
        <v>191</v>
      </c>
      <c r="G39" s="5" t="s">
        <v>153</v>
      </c>
    </row>
    <row r="40" spans="2:7" ht="90" x14ac:dyDescent="0.25">
      <c r="B40" s="2">
        <f t="shared" si="0"/>
        <v>32</v>
      </c>
      <c r="C40" s="6" t="s">
        <v>171</v>
      </c>
      <c r="D40" s="6">
        <v>80808144</v>
      </c>
      <c r="E40" s="5" t="s">
        <v>153</v>
      </c>
      <c r="F40" s="5" t="s">
        <v>192</v>
      </c>
      <c r="G40" s="5" t="s">
        <v>153</v>
      </c>
    </row>
    <row r="41" spans="2:7" ht="135" x14ac:dyDescent="0.25">
      <c r="B41" s="2">
        <f t="shared" ref="B41:B72" si="1">IF(ISBLANK(C41),"",IF(NOT(_xlfn.ISFORMULA(B40)),1,B40+1))</f>
        <v>33</v>
      </c>
      <c r="C41" s="6" t="s">
        <v>171</v>
      </c>
      <c r="D41" s="6">
        <v>80808144</v>
      </c>
      <c r="E41" s="5" t="s">
        <v>153</v>
      </c>
      <c r="F41" s="5" t="s">
        <v>193</v>
      </c>
      <c r="G41" s="5" t="s">
        <v>153</v>
      </c>
    </row>
    <row r="42" spans="2:7" ht="105" x14ac:dyDescent="0.25">
      <c r="B42" s="2">
        <f t="shared" si="1"/>
        <v>34</v>
      </c>
      <c r="C42" s="6" t="s">
        <v>171</v>
      </c>
      <c r="D42" s="6">
        <v>80808144</v>
      </c>
      <c r="E42" s="5" t="s">
        <v>153</v>
      </c>
      <c r="F42" s="5" t="s">
        <v>194</v>
      </c>
      <c r="G42" s="5" t="s">
        <v>195</v>
      </c>
    </row>
    <row r="43" spans="2:7" ht="90" x14ac:dyDescent="0.25">
      <c r="B43" s="2">
        <f t="shared" si="1"/>
        <v>35</v>
      </c>
      <c r="C43" s="6" t="s">
        <v>171</v>
      </c>
      <c r="D43" s="6">
        <v>80808144</v>
      </c>
      <c r="E43" s="5" t="s">
        <v>153</v>
      </c>
      <c r="F43" s="5" t="s">
        <v>196</v>
      </c>
      <c r="G43" s="5" t="s">
        <v>153</v>
      </c>
    </row>
    <row r="44" spans="2:7" ht="90" x14ac:dyDescent="0.25">
      <c r="B44" s="2">
        <f t="shared" si="1"/>
        <v>36</v>
      </c>
      <c r="C44" s="6" t="s">
        <v>171</v>
      </c>
      <c r="D44" s="6">
        <v>80808144</v>
      </c>
      <c r="E44" s="5" t="s">
        <v>153</v>
      </c>
      <c r="F44" s="5" t="s">
        <v>197</v>
      </c>
      <c r="G44" s="5" t="s">
        <v>153</v>
      </c>
    </row>
    <row r="45" spans="2:7" ht="75" x14ac:dyDescent="0.25">
      <c r="B45" s="2">
        <f t="shared" si="1"/>
        <v>37</v>
      </c>
      <c r="C45" s="6" t="s">
        <v>171</v>
      </c>
      <c r="D45" s="6">
        <v>80808144</v>
      </c>
      <c r="E45" s="5" t="s">
        <v>153</v>
      </c>
      <c r="F45" s="5" t="s">
        <v>198</v>
      </c>
      <c r="G45" s="5" t="s">
        <v>153</v>
      </c>
    </row>
    <row r="46" spans="2:7" ht="105" x14ac:dyDescent="0.25">
      <c r="B46" s="2">
        <f t="shared" si="1"/>
        <v>38</v>
      </c>
      <c r="C46" s="6" t="s">
        <v>171</v>
      </c>
      <c r="D46" s="6">
        <v>80808144</v>
      </c>
      <c r="E46" s="5" t="s">
        <v>153</v>
      </c>
      <c r="F46" s="5" t="s">
        <v>199</v>
      </c>
      <c r="G46" s="5" t="s">
        <v>200</v>
      </c>
    </row>
    <row r="47" spans="2:7" ht="105" x14ac:dyDescent="0.25">
      <c r="B47" s="2">
        <f t="shared" si="1"/>
        <v>39</v>
      </c>
      <c r="C47" s="6" t="s">
        <v>171</v>
      </c>
      <c r="D47" s="6">
        <v>80808144</v>
      </c>
      <c r="E47" s="5" t="s">
        <v>153</v>
      </c>
      <c r="F47" s="5" t="s">
        <v>153</v>
      </c>
      <c r="G47" s="5" t="s">
        <v>201</v>
      </c>
    </row>
    <row r="48" spans="2:7" ht="105" x14ac:dyDescent="0.25">
      <c r="B48" s="2">
        <f t="shared" si="1"/>
        <v>40</v>
      </c>
      <c r="C48" s="6" t="s">
        <v>171</v>
      </c>
      <c r="D48" s="6">
        <v>80808144</v>
      </c>
      <c r="E48" s="5" t="s">
        <v>153</v>
      </c>
      <c r="F48" s="5" t="s">
        <v>202</v>
      </c>
      <c r="G48" s="5" t="s">
        <v>203</v>
      </c>
    </row>
    <row r="49" spans="2:7" ht="105" x14ac:dyDescent="0.25">
      <c r="B49" s="2">
        <f t="shared" si="1"/>
        <v>41</v>
      </c>
      <c r="C49" s="6" t="s">
        <v>171</v>
      </c>
      <c r="D49" s="6">
        <v>80808144</v>
      </c>
      <c r="E49" s="5" t="s">
        <v>153</v>
      </c>
      <c r="F49" s="5" t="s">
        <v>204</v>
      </c>
      <c r="G49" s="5" t="s">
        <v>205</v>
      </c>
    </row>
    <row r="50" spans="2:7" ht="105" x14ac:dyDescent="0.25">
      <c r="B50" s="2">
        <f t="shared" si="1"/>
        <v>42</v>
      </c>
      <c r="C50" s="6" t="s">
        <v>171</v>
      </c>
      <c r="D50" s="6">
        <v>80808144</v>
      </c>
      <c r="E50" s="5" t="s">
        <v>153</v>
      </c>
      <c r="F50" s="5" t="s">
        <v>206</v>
      </c>
      <c r="G50" s="5" t="s">
        <v>207</v>
      </c>
    </row>
    <row r="51" spans="2:7" ht="150" x14ac:dyDescent="0.25">
      <c r="B51" s="2">
        <f t="shared" si="1"/>
        <v>43</v>
      </c>
      <c r="C51" s="6" t="s">
        <v>171</v>
      </c>
      <c r="D51" s="6">
        <v>80808144</v>
      </c>
      <c r="E51" s="5" t="s">
        <v>153</v>
      </c>
      <c r="F51" s="5" t="s">
        <v>208</v>
      </c>
      <c r="G51" s="5" t="s">
        <v>153</v>
      </c>
    </row>
    <row r="52" spans="2:7" ht="75" x14ac:dyDescent="0.25">
      <c r="B52" s="2">
        <f t="shared" si="1"/>
        <v>44</v>
      </c>
      <c r="C52" s="6" t="s">
        <v>171</v>
      </c>
      <c r="D52" s="6">
        <v>80808144</v>
      </c>
      <c r="E52" s="5" t="s">
        <v>153</v>
      </c>
      <c r="F52" s="5" t="s">
        <v>209</v>
      </c>
      <c r="G52" s="5" t="s">
        <v>153</v>
      </c>
    </row>
    <row r="53" spans="2:7" ht="75" x14ac:dyDescent="0.25">
      <c r="B53" s="2">
        <f t="shared" si="1"/>
        <v>45</v>
      </c>
      <c r="C53" s="6" t="s">
        <v>171</v>
      </c>
      <c r="D53" s="6">
        <v>80808144</v>
      </c>
      <c r="E53" s="5" t="s">
        <v>153</v>
      </c>
      <c r="F53" s="5" t="s">
        <v>210</v>
      </c>
      <c r="G53" s="5" t="s">
        <v>153</v>
      </c>
    </row>
    <row r="54" spans="2:7" ht="90" x14ac:dyDescent="0.25">
      <c r="B54" s="2">
        <f t="shared" si="1"/>
        <v>46</v>
      </c>
      <c r="C54" s="6" t="s">
        <v>171</v>
      </c>
      <c r="D54" s="6">
        <v>80808144</v>
      </c>
      <c r="E54" s="5" t="s">
        <v>153</v>
      </c>
      <c r="F54" s="5" t="s">
        <v>211</v>
      </c>
      <c r="G54" s="5" t="s">
        <v>153</v>
      </c>
    </row>
    <row r="55" spans="2:7" ht="75" x14ac:dyDescent="0.25">
      <c r="B55" s="2">
        <f t="shared" si="1"/>
        <v>47</v>
      </c>
      <c r="C55" s="6" t="s">
        <v>171</v>
      </c>
      <c r="D55" s="6">
        <v>80808144</v>
      </c>
      <c r="E55" s="5" t="s">
        <v>153</v>
      </c>
      <c r="F55" s="5" t="s">
        <v>212</v>
      </c>
      <c r="G55" s="5" t="s">
        <v>153</v>
      </c>
    </row>
    <row r="56" spans="2:7" ht="75" x14ac:dyDescent="0.25">
      <c r="B56" s="2">
        <f t="shared" si="1"/>
        <v>48</v>
      </c>
      <c r="C56" s="6" t="s">
        <v>171</v>
      </c>
      <c r="D56" s="6">
        <v>80808144</v>
      </c>
      <c r="E56" s="5" t="s">
        <v>153</v>
      </c>
      <c r="F56" s="5" t="s">
        <v>213</v>
      </c>
      <c r="G56" s="5" t="s">
        <v>153</v>
      </c>
    </row>
    <row r="57" spans="2:7" ht="75" x14ac:dyDescent="0.25">
      <c r="B57" s="2">
        <f t="shared" si="1"/>
        <v>49</v>
      </c>
      <c r="C57" s="6" t="s">
        <v>171</v>
      </c>
      <c r="D57" s="6">
        <v>80808144</v>
      </c>
      <c r="E57" s="5" t="s">
        <v>153</v>
      </c>
      <c r="F57" s="5" t="s">
        <v>214</v>
      </c>
      <c r="G57" s="5" t="s">
        <v>153</v>
      </c>
    </row>
    <row r="58" spans="2:7" ht="75" x14ac:dyDescent="0.25">
      <c r="B58" s="2">
        <f t="shared" si="1"/>
        <v>50</v>
      </c>
      <c r="C58" s="6" t="s">
        <v>171</v>
      </c>
      <c r="D58" s="6">
        <v>80808144</v>
      </c>
      <c r="E58" s="5" t="s">
        <v>153</v>
      </c>
      <c r="F58" s="5" t="s">
        <v>215</v>
      </c>
      <c r="G58" s="5" t="s">
        <v>153</v>
      </c>
    </row>
    <row r="59" spans="2:7" ht="75" x14ac:dyDescent="0.25">
      <c r="B59" s="2">
        <f t="shared" si="1"/>
        <v>51</v>
      </c>
      <c r="C59" s="6" t="s">
        <v>171</v>
      </c>
      <c r="D59" s="6">
        <v>80808144</v>
      </c>
      <c r="E59" s="5" t="s">
        <v>153</v>
      </c>
      <c r="F59" s="5" t="s">
        <v>216</v>
      </c>
      <c r="G59" s="5" t="s">
        <v>153</v>
      </c>
    </row>
    <row r="60" spans="2:7" ht="75" x14ac:dyDescent="0.25">
      <c r="B60" s="2">
        <f t="shared" si="1"/>
        <v>52</v>
      </c>
      <c r="C60" s="6" t="s">
        <v>171</v>
      </c>
      <c r="D60" s="6">
        <v>80808144</v>
      </c>
      <c r="E60" s="5" t="s">
        <v>153</v>
      </c>
      <c r="F60" s="5" t="s">
        <v>217</v>
      </c>
      <c r="G60" s="5" t="s">
        <v>153</v>
      </c>
    </row>
    <row r="61" spans="2:7" ht="150" x14ac:dyDescent="0.25">
      <c r="B61" s="2">
        <f t="shared" si="1"/>
        <v>53</v>
      </c>
      <c r="C61" s="6" t="s">
        <v>171</v>
      </c>
      <c r="D61" s="6">
        <v>80808144</v>
      </c>
      <c r="E61" s="5" t="s">
        <v>153</v>
      </c>
      <c r="F61" s="5" t="s">
        <v>218</v>
      </c>
      <c r="G61" s="5" t="s">
        <v>219</v>
      </c>
    </row>
    <row r="62" spans="2:7" ht="75" x14ac:dyDescent="0.25">
      <c r="B62" s="2">
        <f t="shared" si="1"/>
        <v>54</v>
      </c>
      <c r="C62" s="6" t="s">
        <v>171</v>
      </c>
      <c r="D62" s="6">
        <v>80808144</v>
      </c>
      <c r="E62" s="5" t="s">
        <v>153</v>
      </c>
      <c r="F62" s="5" t="s">
        <v>220</v>
      </c>
      <c r="G62" s="5" t="s">
        <v>153</v>
      </c>
    </row>
    <row r="63" spans="2:7" ht="150" x14ac:dyDescent="0.25">
      <c r="B63" s="2">
        <f t="shared" si="1"/>
        <v>55</v>
      </c>
      <c r="C63" s="6" t="s">
        <v>171</v>
      </c>
      <c r="D63" s="6">
        <v>80808144</v>
      </c>
      <c r="E63" s="5" t="s">
        <v>153</v>
      </c>
      <c r="F63" s="5" t="s">
        <v>221</v>
      </c>
      <c r="G63" s="5" t="s">
        <v>222</v>
      </c>
    </row>
    <row r="64" spans="2:7" ht="75" x14ac:dyDescent="0.25">
      <c r="B64" s="2">
        <f t="shared" si="1"/>
        <v>56</v>
      </c>
      <c r="C64" s="6" t="s">
        <v>171</v>
      </c>
      <c r="D64" s="6">
        <v>80808144</v>
      </c>
      <c r="E64" s="5" t="s">
        <v>153</v>
      </c>
      <c r="F64" s="5" t="s">
        <v>223</v>
      </c>
      <c r="G64" s="5" t="s">
        <v>153</v>
      </c>
    </row>
    <row r="65" spans="2:7" ht="90" x14ac:dyDescent="0.25">
      <c r="B65" s="2">
        <f t="shared" si="1"/>
        <v>57</v>
      </c>
      <c r="C65" s="6" t="s">
        <v>224</v>
      </c>
      <c r="D65" s="6">
        <v>80808161</v>
      </c>
      <c r="E65" s="5" t="s">
        <v>225</v>
      </c>
      <c r="F65" s="5" t="s">
        <v>226</v>
      </c>
      <c r="G65" s="5" t="s">
        <v>153</v>
      </c>
    </row>
    <row r="66" spans="2:7" ht="105" x14ac:dyDescent="0.25">
      <c r="B66" s="2">
        <f t="shared" si="1"/>
        <v>58</v>
      </c>
      <c r="C66" s="6" t="s">
        <v>227</v>
      </c>
      <c r="D66" s="6">
        <v>80808186</v>
      </c>
      <c r="E66" s="5" t="s">
        <v>153</v>
      </c>
      <c r="F66" s="5" t="s">
        <v>153</v>
      </c>
      <c r="G66" s="5" t="s">
        <v>228</v>
      </c>
    </row>
    <row r="67" spans="2:7" ht="75" x14ac:dyDescent="0.25">
      <c r="B67" s="2">
        <f t="shared" si="1"/>
        <v>59</v>
      </c>
      <c r="C67" s="6" t="s">
        <v>229</v>
      </c>
      <c r="D67" s="6">
        <v>80808199</v>
      </c>
      <c r="E67" s="5" t="s">
        <v>153</v>
      </c>
      <c r="F67" s="5" t="s">
        <v>230</v>
      </c>
      <c r="G67" s="5" t="s">
        <v>153</v>
      </c>
    </row>
    <row r="68" spans="2:7" ht="75" x14ac:dyDescent="0.25">
      <c r="B68" s="2">
        <f t="shared" si="1"/>
        <v>60</v>
      </c>
      <c r="C68" s="6" t="s">
        <v>229</v>
      </c>
      <c r="D68" s="6">
        <v>80808199</v>
      </c>
      <c r="E68" s="5" t="s">
        <v>153</v>
      </c>
      <c r="F68" s="5" t="s">
        <v>231</v>
      </c>
      <c r="G68" s="5" t="s">
        <v>153</v>
      </c>
    </row>
    <row r="69" spans="2:7" ht="120" x14ac:dyDescent="0.25">
      <c r="B69" s="2">
        <f t="shared" si="1"/>
        <v>61</v>
      </c>
      <c r="C69" s="6" t="s">
        <v>232</v>
      </c>
      <c r="D69" s="6">
        <v>80808203</v>
      </c>
      <c r="E69" s="5" t="s">
        <v>153</v>
      </c>
      <c r="F69" s="5" t="s">
        <v>233</v>
      </c>
      <c r="G69" s="5" t="s">
        <v>153</v>
      </c>
    </row>
    <row r="70" spans="2:7" ht="90" x14ac:dyDescent="0.25">
      <c r="B70" s="2">
        <f t="shared" si="1"/>
        <v>62</v>
      </c>
      <c r="C70" s="6" t="s">
        <v>232</v>
      </c>
      <c r="D70" s="6">
        <v>80808203</v>
      </c>
      <c r="E70" s="5" t="s">
        <v>153</v>
      </c>
      <c r="F70" s="5" t="s">
        <v>234</v>
      </c>
      <c r="G70" s="5" t="s">
        <v>153</v>
      </c>
    </row>
    <row r="71" spans="2:7" ht="120" x14ac:dyDescent="0.25">
      <c r="B71" s="2">
        <f t="shared" si="1"/>
        <v>63</v>
      </c>
      <c r="C71" s="6" t="s">
        <v>232</v>
      </c>
      <c r="D71" s="6">
        <v>80808203</v>
      </c>
      <c r="E71" s="5" t="s">
        <v>153</v>
      </c>
      <c r="F71" s="5" t="s">
        <v>235</v>
      </c>
      <c r="G71" s="5" t="s">
        <v>153</v>
      </c>
    </row>
    <row r="72" spans="2:7" ht="120" x14ac:dyDescent="0.25">
      <c r="B72" s="2">
        <f t="shared" si="1"/>
        <v>64</v>
      </c>
      <c r="C72" s="6" t="s">
        <v>232</v>
      </c>
      <c r="D72" s="6">
        <v>80808203</v>
      </c>
      <c r="E72" s="5" t="s">
        <v>153</v>
      </c>
      <c r="F72" s="5" t="s">
        <v>236</v>
      </c>
      <c r="G72" s="5" t="s">
        <v>153</v>
      </c>
    </row>
    <row r="73" spans="2:7" ht="75" x14ac:dyDescent="0.25">
      <c r="B73" s="2">
        <f t="shared" ref="B73:B78" si="2">IF(ISBLANK(C73),"",IF(NOT(_xlfn.ISFORMULA(B72)),1,B72+1))</f>
        <v>65</v>
      </c>
      <c r="C73" s="6" t="s">
        <v>232</v>
      </c>
      <c r="D73" s="6">
        <v>80808203</v>
      </c>
      <c r="E73" s="5" t="s">
        <v>153</v>
      </c>
      <c r="F73" s="5" t="s">
        <v>237</v>
      </c>
      <c r="G73" s="5" t="s">
        <v>153</v>
      </c>
    </row>
    <row r="74" spans="2:7" ht="75" x14ac:dyDescent="0.25">
      <c r="B74" s="2">
        <f t="shared" si="2"/>
        <v>66</v>
      </c>
      <c r="C74" s="6" t="s">
        <v>232</v>
      </c>
      <c r="D74" s="6">
        <v>80808203</v>
      </c>
      <c r="E74" s="5" t="s">
        <v>153</v>
      </c>
      <c r="F74" s="5" t="s">
        <v>238</v>
      </c>
      <c r="G74" s="5" t="s">
        <v>153</v>
      </c>
    </row>
    <row r="75" spans="2:7" ht="150" x14ac:dyDescent="0.25">
      <c r="B75" s="2">
        <f t="shared" si="2"/>
        <v>67</v>
      </c>
      <c r="C75" s="6" t="s">
        <v>232</v>
      </c>
      <c r="D75" s="6">
        <v>80808203</v>
      </c>
      <c r="E75" s="5" t="s">
        <v>153</v>
      </c>
      <c r="F75" s="5" t="s">
        <v>239</v>
      </c>
      <c r="G75" s="5" t="s">
        <v>240</v>
      </c>
    </row>
    <row r="76" spans="2:7" ht="75" x14ac:dyDescent="0.25">
      <c r="B76" s="2">
        <f t="shared" si="2"/>
        <v>68</v>
      </c>
      <c r="C76" s="6" t="s">
        <v>232</v>
      </c>
      <c r="D76" s="6">
        <v>80808203</v>
      </c>
      <c r="E76" s="5" t="s">
        <v>153</v>
      </c>
      <c r="F76" s="5" t="s">
        <v>241</v>
      </c>
      <c r="G76" s="5" t="s">
        <v>153</v>
      </c>
    </row>
    <row r="77" spans="2:7" ht="105" x14ac:dyDescent="0.25">
      <c r="B77" s="2">
        <f t="shared" si="2"/>
        <v>69</v>
      </c>
      <c r="C77" s="6" t="s">
        <v>232</v>
      </c>
      <c r="D77" s="6">
        <v>80808203</v>
      </c>
      <c r="E77" s="5" t="s">
        <v>153</v>
      </c>
      <c r="F77" s="5" t="s">
        <v>242</v>
      </c>
      <c r="G77" s="5" t="s">
        <v>243</v>
      </c>
    </row>
    <row r="78" spans="2:7" ht="105" x14ac:dyDescent="0.25">
      <c r="B78" s="2">
        <f t="shared" si="2"/>
        <v>70</v>
      </c>
      <c r="C78" s="6" t="s">
        <v>244</v>
      </c>
      <c r="D78" s="6">
        <v>80808243</v>
      </c>
      <c r="E78" s="5" t="s">
        <v>153</v>
      </c>
      <c r="F78" s="5" t="s">
        <v>153</v>
      </c>
      <c r="G78" s="5" t="s">
        <v>245</v>
      </c>
    </row>
    <row r="79" spans="2:7" ht="120" x14ac:dyDescent="0.25">
      <c r="B79" s="2">
        <f t="shared" ref="B79:B80" si="3">IF(ISBLANK(C79),"",IF(NOT(_xlfn.ISFORMULA(B78)),1,B78+1))</f>
        <v>71</v>
      </c>
      <c r="C79" s="6" t="s">
        <v>244</v>
      </c>
      <c r="D79" s="6">
        <v>80808243</v>
      </c>
      <c r="E79" s="5" t="s">
        <v>153</v>
      </c>
      <c r="F79" s="5" t="s">
        <v>246</v>
      </c>
      <c r="G79" s="5" t="s">
        <v>153</v>
      </c>
    </row>
    <row r="80" spans="2:7" ht="105" x14ac:dyDescent="0.25">
      <c r="B80" s="2">
        <f t="shared" si="3"/>
        <v>72</v>
      </c>
      <c r="C80" s="6" t="s">
        <v>244</v>
      </c>
      <c r="D80" s="6">
        <v>80808243</v>
      </c>
      <c r="E80" s="5" t="s">
        <v>153</v>
      </c>
      <c r="F80" s="5" t="s">
        <v>247</v>
      </c>
      <c r="G80" s="5" t="s">
        <v>248</v>
      </c>
    </row>
    <row r="81" spans="2:7" ht="75" x14ac:dyDescent="0.25">
      <c r="B81" s="2">
        <f t="shared" ref="B81:B82" si="4">IF(ISBLANK(C81),"",IF(NOT(_xlfn.ISFORMULA(B80)),1,B80+1))</f>
        <v>73</v>
      </c>
      <c r="C81" s="6" t="s">
        <v>244</v>
      </c>
      <c r="D81" s="6">
        <v>80808243</v>
      </c>
      <c r="E81" s="5" t="s">
        <v>153</v>
      </c>
      <c r="F81" s="5" t="s">
        <v>249</v>
      </c>
      <c r="G81" s="5" t="s">
        <v>153</v>
      </c>
    </row>
    <row r="82" spans="2:7" ht="90" x14ac:dyDescent="0.25">
      <c r="B82" s="2">
        <f t="shared" si="4"/>
        <v>74</v>
      </c>
      <c r="C82" s="6" t="s">
        <v>244</v>
      </c>
      <c r="D82" s="6">
        <v>80808243</v>
      </c>
      <c r="E82" s="5" t="s">
        <v>153</v>
      </c>
      <c r="F82" s="5" t="s">
        <v>250</v>
      </c>
      <c r="G82" s="5" t="s">
        <v>153</v>
      </c>
    </row>
    <row r="83" spans="2:7" ht="105" x14ac:dyDescent="0.25">
      <c r="B83" s="2">
        <f>IF(ISBLANK(C83),"",IF(NOT(_xlfn.ISFORMULA(B82)),1,B82+1))</f>
        <v>75</v>
      </c>
      <c r="C83" s="6" t="s">
        <v>244</v>
      </c>
      <c r="D83" s="6">
        <v>80808243</v>
      </c>
      <c r="E83" s="5" t="s">
        <v>153</v>
      </c>
      <c r="F83" s="5" t="s">
        <v>251</v>
      </c>
      <c r="G83" s="5" t="s">
        <v>252</v>
      </c>
    </row>
    <row r="84" spans="2:7" ht="105" x14ac:dyDescent="0.25">
      <c r="B84" s="2">
        <f>IF(ISBLANK(C84),"",IF(NOT(_xlfn.ISFORMULA(B83)),1,B83+1))</f>
        <v>76</v>
      </c>
      <c r="C84" s="6" t="s">
        <v>244</v>
      </c>
      <c r="D84" s="6">
        <v>80808243</v>
      </c>
      <c r="E84" s="5" t="s">
        <v>153</v>
      </c>
      <c r="F84" s="5" t="s">
        <v>253</v>
      </c>
      <c r="G84" s="5" t="s">
        <v>254</v>
      </c>
    </row>
    <row r="85" spans="2:7" ht="105" x14ac:dyDescent="0.25">
      <c r="B85" s="2">
        <f>IF(ISBLANK(C85),"",IF(NOT(_xlfn.ISFORMULA(B84)),1,B84+1))</f>
        <v>77</v>
      </c>
      <c r="C85" s="6" t="s">
        <v>244</v>
      </c>
      <c r="D85" s="6">
        <v>80808243</v>
      </c>
      <c r="E85" s="5" t="s">
        <v>153</v>
      </c>
      <c r="F85" s="5" t="s">
        <v>153</v>
      </c>
      <c r="G85" s="5" t="s">
        <v>255</v>
      </c>
    </row>
    <row r="86" spans="2:7" ht="150" x14ac:dyDescent="0.25">
      <c r="B86" s="2">
        <f t="shared" ref="B86:B87" si="5">IF(ISBLANK(C86),"",IF(NOT(_xlfn.ISFORMULA(B85)),1,B85+1))</f>
        <v>78</v>
      </c>
      <c r="C86" s="6" t="s">
        <v>244</v>
      </c>
      <c r="D86" s="6">
        <v>80808243</v>
      </c>
      <c r="E86" s="5" t="s">
        <v>153</v>
      </c>
      <c r="F86" s="5" t="s">
        <v>256</v>
      </c>
      <c r="G86" s="5" t="s">
        <v>257</v>
      </c>
    </row>
    <row r="87" spans="2:7" ht="105" x14ac:dyDescent="0.25">
      <c r="B87" s="2">
        <f t="shared" si="5"/>
        <v>79</v>
      </c>
      <c r="C87" s="6" t="s">
        <v>244</v>
      </c>
      <c r="D87" s="6">
        <v>80808243</v>
      </c>
      <c r="E87" s="5" t="s">
        <v>153</v>
      </c>
      <c r="F87" s="5" t="s">
        <v>258</v>
      </c>
      <c r="G87" s="5" t="s">
        <v>259</v>
      </c>
    </row>
    <row r="88" spans="2:7" ht="105" x14ac:dyDescent="0.25">
      <c r="B88" s="2">
        <f>IF(ISBLANK(C88),"",IF(NOT(_xlfn.ISFORMULA(B87)),1,B87+1))</f>
        <v>80</v>
      </c>
      <c r="C88" s="6" t="s">
        <v>244</v>
      </c>
      <c r="D88" s="6">
        <v>80808243</v>
      </c>
      <c r="E88" s="5" t="s">
        <v>153</v>
      </c>
      <c r="F88" s="5" t="s">
        <v>153</v>
      </c>
      <c r="G88" s="5" t="s">
        <v>260</v>
      </c>
    </row>
    <row r="89" spans="2:7" ht="105" x14ac:dyDescent="0.25">
      <c r="B89" s="2">
        <f>IF(ISBLANK(C89),"",IF(NOT(_xlfn.ISFORMULA(B88)),1,B88+1))</f>
        <v>81</v>
      </c>
      <c r="C89" s="6" t="s">
        <v>261</v>
      </c>
      <c r="D89" s="6">
        <v>80808379</v>
      </c>
      <c r="E89" s="5" t="s">
        <v>153</v>
      </c>
      <c r="F89" s="5" t="s">
        <v>153</v>
      </c>
      <c r="G89" s="5" t="s">
        <v>262</v>
      </c>
    </row>
    <row r="90" spans="2:7" ht="105" x14ac:dyDescent="0.25">
      <c r="B90" s="2">
        <f>IF(ISBLANK(C90),"",IF(NOT(_xlfn.ISFORMULA(B89)),1,B89+1))</f>
        <v>82</v>
      </c>
      <c r="C90" s="6" t="s">
        <v>263</v>
      </c>
      <c r="D90" s="6">
        <v>80808399</v>
      </c>
      <c r="E90" s="5" t="s">
        <v>153</v>
      </c>
      <c r="F90" s="5" t="s">
        <v>153</v>
      </c>
      <c r="G90" s="5" t="s">
        <v>264</v>
      </c>
    </row>
    <row r="91" spans="2:7" ht="90" x14ac:dyDescent="0.25">
      <c r="B91" s="2">
        <f>IF(ISBLANK(C91),"",IF(NOT(_xlfn.ISFORMULA(B90)),1,B90+1))</f>
        <v>83</v>
      </c>
      <c r="C91" s="6" t="s">
        <v>265</v>
      </c>
      <c r="D91" s="6">
        <v>80808585</v>
      </c>
      <c r="E91" s="5" t="s">
        <v>153</v>
      </c>
      <c r="F91" s="5" t="s">
        <v>266</v>
      </c>
      <c r="G91" s="5" t="s">
        <v>153</v>
      </c>
    </row>
    <row r="92" spans="2:7" ht="90" x14ac:dyDescent="0.25">
      <c r="B92" s="2">
        <f t="shared" ref="B92:B94" si="6">IF(ISBLANK(C92),"",IF(NOT(_xlfn.ISFORMULA(B91)),1,B91+1))</f>
        <v>84</v>
      </c>
      <c r="C92" s="6" t="s">
        <v>267</v>
      </c>
      <c r="D92" s="6">
        <v>80808641</v>
      </c>
      <c r="E92" s="5" t="s">
        <v>153</v>
      </c>
      <c r="F92" s="5" t="s">
        <v>268</v>
      </c>
      <c r="G92" s="5" t="s">
        <v>153</v>
      </c>
    </row>
    <row r="93" spans="2:7" ht="60" x14ac:dyDescent="0.25">
      <c r="B93" s="2">
        <f t="shared" si="6"/>
        <v>85</v>
      </c>
      <c r="C93" s="6" t="s">
        <v>267</v>
      </c>
      <c r="D93" s="6">
        <v>80808641</v>
      </c>
      <c r="E93" s="5" t="s">
        <v>153</v>
      </c>
      <c r="F93" s="5" t="s">
        <v>269</v>
      </c>
      <c r="G93" s="5" t="s">
        <v>153</v>
      </c>
    </row>
    <row r="94" spans="2:7" ht="75" x14ac:dyDescent="0.25">
      <c r="B94" s="2">
        <f t="shared" si="6"/>
        <v>86</v>
      </c>
      <c r="C94" s="6" t="s">
        <v>267</v>
      </c>
      <c r="D94" s="6">
        <v>80808641</v>
      </c>
      <c r="E94" s="5" t="s">
        <v>153</v>
      </c>
      <c r="F94" s="5" t="s">
        <v>270</v>
      </c>
      <c r="G94" s="5" t="s">
        <v>153</v>
      </c>
    </row>
    <row r="95" spans="2:7" ht="75" x14ac:dyDescent="0.25">
      <c r="B95" s="2">
        <f t="shared" ref="B95:B106" si="7">IF(ISBLANK(C95),"",IF(NOT(_xlfn.ISFORMULA(B94)),1,B94+1))</f>
        <v>87</v>
      </c>
      <c r="C95" s="6" t="s">
        <v>267</v>
      </c>
      <c r="D95" s="6">
        <v>80808641</v>
      </c>
      <c r="E95" s="5" t="s">
        <v>153</v>
      </c>
      <c r="F95" s="5" t="s">
        <v>271</v>
      </c>
      <c r="G95" s="5" t="s">
        <v>153</v>
      </c>
    </row>
    <row r="96" spans="2:7" ht="90" x14ac:dyDescent="0.25">
      <c r="B96" s="2">
        <f t="shared" si="7"/>
        <v>88</v>
      </c>
      <c r="C96" s="6" t="s">
        <v>267</v>
      </c>
      <c r="D96" s="6">
        <v>80808641</v>
      </c>
      <c r="E96" s="5" t="s">
        <v>153</v>
      </c>
      <c r="F96" s="5" t="s">
        <v>272</v>
      </c>
      <c r="G96" s="5" t="s">
        <v>153</v>
      </c>
    </row>
    <row r="97" spans="2:7" ht="90" x14ac:dyDescent="0.25">
      <c r="B97" s="2">
        <f t="shared" si="7"/>
        <v>89</v>
      </c>
      <c r="C97" s="6" t="s">
        <v>267</v>
      </c>
      <c r="D97" s="6">
        <v>80808641</v>
      </c>
      <c r="E97" s="5" t="s">
        <v>153</v>
      </c>
      <c r="F97" s="5" t="s">
        <v>273</v>
      </c>
      <c r="G97" s="5" t="s">
        <v>153</v>
      </c>
    </row>
    <row r="98" spans="2:7" ht="75" x14ac:dyDescent="0.25">
      <c r="B98" s="2">
        <f t="shared" si="7"/>
        <v>90</v>
      </c>
      <c r="C98" s="6" t="s">
        <v>274</v>
      </c>
      <c r="D98" s="6">
        <v>80808773</v>
      </c>
      <c r="E98" s="5" t="s">
        <v>153</v>
      </c>
      <c r="F98" s="5" t="s">
        <v>275</v>
      </c>
      <c r="G98" s="5" t="s">
        <v>153</v>
      </c>
    </row>
    <row r="99" spans="2:7" ht="120" x14ac:dyDescent="0.25">
      <c r="B99" s="2">
        <f t="shared" si="7"/>
        <v>91</v>
      </c>
      <c r="C99" s="6" t="s">
        <v>276</v>
      </c>
      <c r="D99" s="6">
        <v>80808869</v>
      </c>
      <c r="E99" s="5" t="s">
        <v>153</v>
      </c>
      <c r="F99" s="5" t="s">
        <v>277</v>
      </c>
      <c r="G99" s="5" t="s">
        <v>153</v>
      </c>
    </row>
    <row r="100" spans="2:7" ht="120" x14ac:dyDescent="0.25">
      <c r="B100" s="2">
        <f t="shared" si="7"/>
        <v>92</v>
      </c>
      <c r="C100" s="6" t="s">
        <v>276</v>
      </c>
      <c r="D100" s="6">
        <v>80808869</v>
      </c>
      <c r="E100" s="5" t="s">
        <v>153</v>
      </c>
      <c r="F100" s="5" t="s">
        <v>278</v>
      </c>
      <c r="G100" s="5" t="s">
        <v>153</v>
      </c>
    </row>
    <row r="101" spans="2:7" ht="120" x14ac:dyDescent="0.25">
      <c r="B101" s="2">
        <f t="shared" si="7"/>
        <v>93</v>
      </c>
      <c r="C101" s="6" t="s">
        <v>276</v>
      </c>
      <c r="D101" s="6">
        <v>80808869</v>
      </c>
      <c r="E101" s="5" t="s">
        <v>153</v>
      </c>
      <c r="F101" s="5" t="s">
        <v>279</v>
      </c>
      <c r="G101" s="5" t="s">
        <v>153</v>
      </c>
    </row>
    <row r="102" spans="2:7" ht="90" x14ac:dyDescent="0.25">
      <c r="B102" s="2">
        <f t="shared" si="7"/>
        <v>94</v>
      </c>
      <c r="C102" s="6" t="s">
        <v>276</v>
      </c>
      <c r="D102" s="6">
        <v>80808869</v>
      </c>
      <c r="E102" s="5" t="s">
        <v>153</v>
      </c>
      <c r="F102" s="5" t="s">
        <v>280</v>
      </c>
      <c r="G102" s="5" t="s">
        <v>153</v>
      </c>
    </row>
    <row r="103" spans="2:7" ht="105" x14ac:dyDescent="0.25">
      <c r="B103" s="2">
        <f t="shared" si="7"/>
        <v>95</v>
      </c>
      <c r="C103" s="6" t="s">
        <v>276</v>
      </c>
      <c r="D103" s="6">
        <v>80808869</v>
      </c>
      <c r="E103" s="5" t="s">
        <v>153</v>
      </c>
      <c r="F103" s="5" t="s">
        <v>153</v>
      </c>
      <c r="G103" s="5" t="s">
        <v>281</v>
      </c>
    </row>
    <row r="104" spans="2:7" ht="105" x14ac:dyDescent="0.25">
      <c r="B104" s="2">
        <f t="shared" si="7"/>
        <v>96</v>
      </c>
      <c r="C104" s="6" t="s">
        <v>276</v>
      </c>
      <c r="D104" s="6">
        <v>80808869</v>
      </c>
      <c r="E104" s="5" t="s">
        <v>153</v>
      </c>
      <c r="F104" s="5" t="s">
        <v>282</v>
      </c>
      <c r="G104" s="5" t="s">
        <v>283</v>
      </c>
    </row>
    <row r="105" spans="2:7" ht="105" x14ac:dyDescent="0.25">
      <c r="B105" s="2">
        <f t="shared" si="7"/>
        <v>97</v>
      </c>
      <c r="C105" s="6" t="s">
        <v>276</v>
      </c>
      <c r="D105" s="6">
        <v>80808869</v>
      </c>
      <c r="E105" s="5" t="s">
        <v>153</v>
      </c>
      <c r="F105" s="5" t="s">
        <v>153</v>
      </c>
      <c r="G105" s="5" t="s">
        <v>284</v>
      </c>
    </row>
    <row r="106" spans="2:7" ht="105" x14ac:dyDescent="0.25">
      <c r="B106" s="2">
        <f t="shared" si="7"/>
        <v>98</v>
      </c>
      <c r="C106" s="6" t="s">
        <v>276</v>
      </c>
      <c r="D106" s="6">
        <v>80808869</v>
      </c>
      <c r="E106" s="5" t="s">
        <v>153</v>
      </c>
      <c r="F106" s="5" t="s">
        <v>153</v>
      </c>
      <c r="G106" s="5" t="s">
        <v>285</v>
      </c>
    </row>
    <row r="107" spans="2:7" ht="105" x14ac:dyDescent="0.25">
      <c r="B107" s="2">
        <f t="shared" ref="B107:B108" si="8">IF(ISBLANK(C107),"",IF(NOT(_xlfn.ISFORMULA(B106)),1,B106+1))</f>
        <v>99</v>
      </c>
      <c r="C107" s="6" t="s">
        <v>276</v>
      </c>
      <c r="D107" s="6">
        <v>80808869</v>
      </c>
      <c r="E107" s="5" t="s">
        <v>153</v>
      </c>
      <c r="F107" s="5" t="s">
        <v>286</v>
      </c>
      <c r="G107" s="5" t="s">
        <v>287</v>
      </c>
    </row>
    <row r="108" spans="2:7" ht="105" x14ac:dyDescent="0.25">
      <c r="B108" s="2">
        <f t="shared" si="8"/>
        <v>100</v>
      </c>
      <c r="C108" s="6" t="s">
        <v>276</v>
      </c>
      <c r="D108" s="6">
        <v>80808869</v>
      </c>
      <c r="E108" s="5" t="s">
        <v>153</v>
      </c>
      <c r="F108" s="5" t="s">
        <v>288</v>
      </c>
      <c r="G108" s="5" t="s">
        <v>289</v>
      </c>
    </row>
    <row r="109" spans="2:7" ht="105" x14ac:dyDescent="0.25">
      <c r="B109" s="2">
        <f>IF(ISBLANK(C109),"",IF(NOT(_xlfn.ISFORMULA(B108)),1,B108+1))</f>
        <v>101</v>
      </c>
      <c r="C109" s="6" t="s">
        <v>276</v>
      </c>
      <c r="D109" s="6">
        <v>80808869</v>
      </c>
      <c r="E109" s="5" t="s">
        <v>153</v>
      </c>
      <c r="F109" s="5" t="s">
        <v>153</v>
      </c>
      <c r="G109" s="5" t="s">
        <v>290</v>
      </c>
    </row>
    <row r="110" spans="2:7" ht="120" x14ac:dyDescent="0.25">
      <c r="B110" s="2">
        <f>IF(ISBLANK(C110),"",IF(NOT(_xlfn.ISFORMULA(B109)),1,B109+1))</f>
        <v>102</v>
      </c>
      <c r="C110" s="6" t="s">
        <v>291</v>
      </c>
      <c r="D110" s="6">
        <v>80808901</v>
      </c>
      <c r="E110" s="5" t="s">
        <v>153</v>
      </c>
      <c r="F110" s="5" t="s">
        <v>292</v>
      </c>
      <c r="G110" s="5" t="s">
        <v>153</v>
      </c>
    </row>
    <row r="111" spans="2:7" ht="105" x14ac:dyDescent="0.25">
      <c r="B111" s="2">
        <f>IF(ISBLANK(C111),"",IF(NOT(_xlfn.ISFORMULA(B110)),1,B110+1))</f>
        <v>103</v>
      </c>
      <c r="C111" s="6" t="s">
        <v>291</v>
      </c>
      <c r="D111" s="6">
        <v>80808901</v>
      </c>
      <c r="E111" s="5" t="s">
        <v>153</v>
      </c>
      <c r="F111" s="5" t="s">
        <v>293</v>
      </c>
      <c r="G111" s="5" t="s">
        <v>294</v>
      </c>
    </row>
    <row r="112" spans="2:7" ht="105" x14ac:dyDescent="0.25">
      <c r="B112" s="2">
        <f>IF(ISBLANK(C112),"",IF(NOT(_xlfn.ISFORMULA(B111)),1,B111+1))</f>
        <v>104</v>
      </c>
      <c r="C112" s="6" t="s">
        <v>295</v>
      </c>
      <c r="D112" s="6">
        <v>80808926</v>
      </c>
      <c r="E112" s="5" t="s">
        <v>153</v>
      </c>
      <c r="F112" s="5" t="s">
        <v>296</v>
      </c>
      <c r="G112" s="5" t="s">
        <v>297</v>
      </c>
    </row>
    <row r="113" spans="2:7" ht="165" x14ac:dyDescent="0.25">
      <c r="B113" s="2">
        <f>IF(ISBLANK(C113),"",IF(NOT(_xlfn.ISFORMULA(B112)),1,B112+1))</f>
        <v>105</v>
      </c>
      <c r="C113" s="6" t="s">
        <v>295</v>
      </c>
      <c r="D113" s="6">
        <v>80808926</v>
      </c>
      <c r="E113" s="5" t="s">
        <v>153</v>
      </c>
      <c r="F113" s="5" t="s">
        <v>298</v>
      </c>
      <c r="G113" s="5" t="s">
        <v>153</v>
      </c>
    </row>
    <row r="114" spans="2:7" ht="120" x14ac:dyDescent="0.25">
      <c r="B114" s="2">
        <f t="shared" ref="B114:B115" si="9">IF(ISBLANK(C114),"",IF(NOT(_xlfn.ISFORMULA(B113)),1,B113+1))</f>
        <v>106</v>
      </c>
      <c r="C114" s="6" t="s">
        <v>299</v>
      </c>
      <c r="D114" s="6">
        <v>80808955</v>
      </c>
      <c r="E114" s="5" t="s">
        <v>153</v>
      </c>
      <c r="F114" s="5" t="s">
        <v>300</v>
      </c>
      <c r="G114" s="5" t="s">
        <v>153</v>
      </c>
    </row>
    <row r="115" spans="2:7" ht="120" x14ac:dyDescent="0.25">
      <c r="B115" s="2">
        <f t="shared" si="9"/>
        <v>107</v>
      </c>
      <c r="C115" s="6" t="s">
        <v>299</v>
      </c>
      <c r="D115" s="6">
        <v>80808955</v>
      </c>
      <c r="E115" s="5" t="s">
        <v>153</v>
      </c>
      <c r="F115" s="5" t="s">
        <v>301</v>
      </c>
      <c r="G115" s="5" t="s">
        <v>153</v>
      </c>
    </row>
    <row r="116" spans="2:7" ht="120" x14ac:dyDescent="0.25">
      <c r="B116" s="2">
        <f t="shared" ref="B116:B122" si="10">IF(ISBLANK(C116),"",IF(NOT(_xlfn.ISFORMULA(B115)),1,B115+1))</f>
        <v>108</v>
      </c>
      <c r="C116" s="6" t="s">
        <v>299</v>
      </c>
      <c r="D116" s="6">
        <v>80808955</v>
      </c>
      <c r="E116" s="5" t="s">
        <v>153</v>
      </c>
      <c r="F116" s="5" t="s">
        <v>302</v>
      </c>
      <c r="G116" s="5" t="s">
        <v>153</v>
      </c>
    </row>
    <row r="117" spans="2:7" ht="120" x14ac:dyDescent="0.25">
      <c r="B117" s="2">
        <f t="shared" si="10"/>
        <v>109</v>
      </c>
      <c r="C117" s="6" t="s">
        <v>299</v>
      </c>
      <c r="D117" s="6">
        <v>80808955</v>
      </c>
      <c r="E117" s="5" t="s">
        <v>153</v>
      </c>
      <c r="F117" s="5" t="s">
        <v>303</v>
      </c>
      <c r="G117" s="5" t="s">
        <v>153</v>
      </c>
    </row>
    <row r="118" spans="2:7" ht="120" x14ac:dyDescent="0.25">
      <c r="B118" s="2">
        <f t="shared" si="10"/>
        <v>110</v>
      </c>
      <c r="C118" s="6" t="s">
        <v>299</v>
      </c>
      <c r="D118" s="6">
        <v>80808955</v>
      </c>
      <c r="E118" s="5" t="s">
        <v>153</v>
      </c>
      <c r="F118" s="5" t="s">
        <v>304</v>
      </c>
      <c r="G118" s="5" t="s">
        <v>153</v>
      </c>
    </row>
    <row r="119" spans="2:7" ht="90" x14ac:dyDescent="0.25">
      <c r="B119" s="2">
        <f t="shared" si="10"/>
        <v>111</v>
      </c>
      <c r="C119" s="6" t="s">
        <v>299</v>
      </c>
      <c r="D119" s="6">
        <v>80808955</v>
      </c>
      <c r="E119" s="5" t="s">
        <v>153</v>
      </c>
      <c r="F119" s="5" t="s">
        <v>305</v>
      </c>
      <c r="G119" s="5" t="s">
        <v>153</v>
      </c>
    </row>
    <row r="120" spans="2:7" ht="75" x14ac:dyDescent="0.25">
      <c r="B120" s="2">
        <f t="shared" si="10"/>
        <v>112</v>
      </c>
      <c r="C120" s="6" t="s">
        <v>299</v>
      </c>
      <c r="D120" s="6">
        <v>80808955</v>
      </c>
      <c r="E120" s="5" t="s">
        <v>153</v>
      </c>
      <c r="F120" s="5" t="s">
        <v>306</v>
      </c>
      <c r="G120" s="5" t="s">
        <v>153</v>
      </c>
    </row>
    <row r="121" spans="2:7" ht="75" x14ac:dyDescent="0.25">
      <c r="B121" s="2">
        <f t="shared" si="10"/>
        <v>113</v>
      </c>
      <c r="C121" s="6" t="s">
        <v>299</v>
      </c>
      <c r="D121" s="6">
        <v>80808955</v>
      </c>
      <c r="E121" s="5" t="s">
        <v>153</v>
      </c>
      <c r="F121" s="5" t="s">
        <v>307</v>
      </c>
      <c r="G121" s="5" t="s">
        <v>153</v>
      </c>
    </row>
    <row r="122" spans="2:7" ht="90" x14ac:dyDescent="0.25">
      <c r="B122" s="2">
        <f t="shared" si="10"/>
        <v>114</v>
      </c>
      <c r="C122" s="6" t="s">
        <v>299</v>
      </c>
      <c r="D122" s="6">
        <v>80808955</v>
      </c>
      <c r="E122" s="5" t="s">
        <v>153</v>
      </c>
      <c r="F122" s="5" t="s">
        <v>308</v>
      </c>
      <c r="G122" s="5" t="s">
        <v>153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REVIEW</vt:lpstr>
      <vt:lpstr>CodeKey</vt:lpstr>
      <vt:lpstr>Staff_Key</vt:lpstr>
      <vt:lpstr>STAFF SCORE</vt:lpstr>
      <vt:lpstr>CODE SCORE</vt:lpstr>
      <vt:lpstr>COVERSHEET</vt:lpstr>
      <vt:lpstr>DATA</vt:lpstr>
      <vt:lpstr>DATA2</vt:lpstr>
      <vt:lpstr>called</vt:lpstr>
      <vt:lpstr>COVERSHEET!COVER</vt:lpstr>
      <vt:lpstr>Staff_Key!coversheet</vt:lpstr>
      <vt:lpstr>coversheet</vt:lpstr>
      <vt:lpstr>FLAGTYPES</vt:lpstr>
      <vt:lpstr>loaded</vt:lpstr>
      <vt:lpstr>ratios</vt:lpstr>
      <vt:lpstr>stats</vt:lpstr>
    </vt:vector>
  </TitlesOfParts>
  <Company>Shriners Hospitals for Children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Ryan, Kirk</dc:creator>
  <cp:lastModifiedBy>Ryan, Kirk</cp:lastModifiedBy>
  <dcterms:created xsi:type="dcterms:W3CDTF">2023-03-16T16:00:04Z</dcterms:created>
  <dcterms:modified xsi:type="dcterms:W3CDTF">2025-12-07T15:04:04Z</dcterms:modified>
</cp:coreProperties>
</file>